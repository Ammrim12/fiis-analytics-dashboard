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acio.faria\Downloads\"/>
    </mc:Choice>
  </mc:AlternateContent>
  <xr:revisionPtr revIDLastSave="0" documentId="13_ncr:1_{231357E7-04BC-4AC0-B087-931722B4A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5" i="1" l="1"/>
  <c r="K215" i="1"/>
  <c r="I215" i="1"/>
  <c r="H215" i="1"/>
  <c r="L214" i="1"/>
  <c r="K214" i="1"/>
  <c r="I214" i="1"/>
  <c r="H214" i="1"/>
  <c r="L213" i="1"/>
  <c r="K213" i="1"/>
  <c r="I213" i="1"/>
  <c r="H213" i="1"/>
  <c r="L212" i="1"/>
  <c r="K212" i="1"/>
  <c r="I212" i="1"/>
  <c r="H212" i="1"/>
  <c r="L211" i="1"/>
  <c r="K211" i="1"/>
  <c r="I211" i="1"/>
  <c r="H211" i="1"/>
  <c r="L210" i="1"/>
  <c r="K210" i="1"/>
  <c r="I210" i="1"/>
  <c r="H210" i="1"/>
  <c r="L209" i="1"/>
  <c r="K209" i="1"/>
  <c r="I209" i="1"/>
  <c r="H209" i="1"/>
  <c r="L208" i="1"/>
  <c r="K208" i="1"/>
  <c r="I208" i="1"/>
  <c r="H208" i="1"/>
  <c r="L207" i="1"/>
  <c r="K207" i="1"/>
  <c r="I207" i="1"/>
  <c r="H207" i="1"/>
  <c r="L206" i="1"/>
  <c r="K206" i="1"/>
  <c r="I206" i="1"/>
  <c r="H206" i="1"/>
  <c r="L205" i="1"/>
  <c r="K205" i="1"/>
  <c r="I205" i="1"/>
  <c r="H205" i="1"/>
  <c r="L204" i="1"/>
  <c r="K204" i="1"/>
  <c r="I204" i="1"/>
  <c r="H204" i="1"/>
  <c r="L203" i="1"/>
  <c r="K203" i="1"/>
  <c r="I203" i="1"/>
  <c r="H203" i="1"/>
  <c r="L202" i="1"/>
  <c r="K202" i="1"/>
  <c r="I202" i="1"/>
  <c r="H202" i="1"/>
  <c r="L201" i="1"/>
  <c r="K201" i="1"/>
  <c r="I201" i="1"/>
  <c r="H201" i="1"/>
  <c r="L200" i="1"/>
  <c r="K200" i="1"/>
  <c r="I200" i="1"/>
  <c r="H200" i="1"/>
  <c r="L199" i="1"/>
  <c r="K199" i="1"/>
  <c r="I199" i="1"/>
  <c r="H199" i="1"/>
  <c r="L198" i="1"/>
  <c r="K198" i="1"/>
  <c r="I198" i="1"/>
  <c r="H198" i="1"/>
  <c r="L197" i="1"/>
  <c r="K197" i="1"/>
  <c r="I197" i="1"/>
  <c r="H197" i="1"/>
  <c r="L196" i="1"/>
  <c r="K196" i="1"/>
  <c r="I196" i="1"/>
  <c r="H196" i="1"/>
  <c r="L195" i="1"/>
  <c r="K195" i="1"/>
  <c r="I195" i="1"/>
  <c r="H195" i="1"/>
  <c r="L194" i="1"/>
  <c r="K194" i="1"/>
  <c r="I194" i="1"/>
  <c r="H194" i="1"/>
  <c r="L193" i="1"/>
  <c r="K193" i="1"/>
  <c r="I193" i="1"/>
  <c r="H193" i="1"/>
  <c r="L192" i="1"/>
  <c r="K192" i="1"/>
  <c r="I192" i="1"/>
  <c r="H192" i="1"/>
  <c r="L191" i="1"/>
  <c r="K191" i="1"/>
  <c r="I191" i="1"/>
  <c r="H191" i="1"/>
  <c r="L190" i="1"/>
  <c r="K190" i="1"/>
  <c r="I190" i="1"/>
  <c r="H190" i="1"/>
  <c r="L189" i="1"/>
  <c r="K189" i="1"/>
  <c r="I189" i="1"/>
  <c r="H189" i="1"/>
  <c r="L188" i="1"/>
  <c r="K188" i="1"/>
  <c r="I188" i="1"/>
  <c r="H188" i="1"/>
  <c r="L187" i="1"/>
  <c r="K187" i="1"/>
  <c r="I187" i="1"/>
  <c r="H187" i="1"/>
  <c r="L186" i="1"/>
  <c r="K186" i="1"/>
  <c r="I186" i="1"/>
  <c r="H186" i="1"/>
  <c r="L185" i="1"/>
  <c r="K185" i="1"/>
  <c r="I185" i="1"/>
  <c r="H185" i="1"/>
  <c r="L184" i="1"/>
  <c r="K184" i="1"/>
  <c r="I184" i="1"/>
  <c r="H184" i="1"/>
  <c r="L183" i="1"/>
  <c r="K183" i="1"/>
  <c r="I183" i="1"/>
  <c r="H183" i="1"/>
  <c r="L182" i="1"/>
  <c r="K182" i="1"/>
  <c r="I182" i="1"/>
  <c r="H182" i="1"/>
  <c r="L181" i="1"/>
  <c r="K181" i="1"/>
  <c r="I181" i="1"/>
  <c r="H181" i="1"/>
  <c r="L180" i="1"/>
  <c r="K180" i="1"/>
  <c r="I180" i="1"/>
  <c r="H180" i="1"/>
  <c r="L179" i="1"/>
  <c r="K179" i="1"/>
  <c r="I179" i="1"/>
  <c r="H179" i="1"/>
  <c r="L178" i="1"/>
  <c r="K178" i="1"/>
  <c r="I178" i="1"/>
  <c r="H178" i="1"/>
  <c r="L177" i="1"/>
  <c r="K177" i="1"/>
  <c r="I177" i="1"/>
  <c r="H177" i="1"/>
  <c r="L176" i="1"/>
  <c r="K176" i="1"/>
  <c r="I176" i="1"/>
  <c r="H176" i="1"/>
  <c r="L175" i="1"/>
  <c r="K175" i="1"/>
  <c r="I175" i="1"/>
  <c r="H175" i="1"/>
  <c r="L174" i="1"/>
  <c r="K174" i="1"/>
  <c r="I174" i="1"/>
  <c r="H174" i="1"/>
  <c r="L173" i="1"/>
  <c r="K173" i="1"/>
  <c r="I173" i="1"/>
  <c r="H173" i="1"/>
  <c r="L172" i="1"/>
  <c r="K172" i="1"/>
  <c r="I172" i="1"/>
  <c r="H172" i="1"/>
  <c r="L171" i="1"/>
  <c r="K171" i="1"/>
  <c r="I171" i="1"/>
  <c r="H171" i="1"/>
  <c r="L170" i="1"/>
  <c r="K170" i="1"/>
  <c r="I170" i="1"/>
  <c r="H170" i="1"/>
  <c r="L169" i="1"/>
  <c r="K169" i="1"/>
  <c r="I169" i="1"/>
  <c r="H169" i="1"/>
  <c r="L168" i="1"/>
  <c r="K168" i="1"/>
  <c r="I168" i="1"/>
  <c r="H168" i="1"/>
  <c r="L167" i="1"/>
  <c r="K167" i="1"/>
  <c r="I167" i="1"/>
  <c r="H167" i="1"/>
  <c r="L166" i="1"/>
  <c r="K166" i="1"/>
  <c r="I166" i="1"/>
  <c r="H166" i="1"/>
  <c r="L165" i="1"/>
  <c r="K165" i="1"/>
  <c r="I165" i="1"/>
  <c r="H165" i="1"/>
  <c r="L164" i="1"/>
  <c r="K164" i="1"/>
  <c r="I164" i="1"/>
  <c r="H164" i="1"/>
  <c r="L163" i="1"/>
  <c r="K163" i="1"/>
  <c r="I163" i="1"/>
  <c r="H163" i="1"/>
  <c r="L162" i="1"/>
  <c r="K162" i="1"/>
  <c r="I162" i="1"/>
  <c r="H162" i="1"/>
  <c r="L161" i="1"/>
  <c r="K161" i="1"/>
  <c r="I161" i="1"/>
  <c r="H161" i="1"/>
  <c r="L160" i="1"/>
  <c r="K160" i="1"/>
  <c r="I160" i="1"/>
  <c r="H160" i="1"/>
  <c r="L159" i="1"/>
  <c r="K159" i="1"/>
  <c r="I159" i="1"/>
  <c r="H159" i="1"/>
  <c r="L158" i="1"/>
  <c r="K158" i="1"/>
  <c r="I158" i="1"/>
  <c r="H158" i="1"/>
  <c r="L157" i="1"/>
  <c r="K157" i="1"/>
  <c r="I157" i="1"/>
  <c r="H157" i="1"/>
  <c r="L156" i="1"/>
  <c r="K156" i="1"/>
  <c r="I156" i="1"/>
  <c r="H156" i="1"/>
  <c r="L155" i="1"/>
  <c r="K155" i="1"/>
  <c r="I155" i="1"/>
  <c r="H155" i="1"/>
  <c r="L154" i="1"/>
  <c r="K154" i="1"/>
  <c r="I154" i="1"/>
  <c r="H154" i="1"/>
  <c r="L153" i="1"/>
  <c r="K153" i="1"/>
  <c r="I153" i="1"/>
  <c r="H153" i="1"/>
  <c r="L152" i="1"/>
  <c r="K152" i="1"/>
  <c r="I152" i="1"/>
  <c r="H152" i="1"/>
  <c r="L151" i="1"/>
  <c r="K151" i="1"/>
  <c r="I151" i="1"/>
  <c r="H151" i="1"/>
  <c r="L150" i="1"/>
  <c r="K150" i="1"/>
  <c r="I150" i="1"/>
  <c r="H150" i="1"/>
  <c r="L149" i="1"/>
  <c r="K149" i="1"/>
  <c r="I149" i="1"/>
  <c r="H149" i="1"/>
  <c r="L148" i="1"/>
  <c r="K148" i="1"/>
  <c r="I148" i="1"/>
  <c r="H148" i="1"/>
  <c r="L147" i="1"/>
  <c r="K147" i="1"/>
  <c r="I147" i="1"/>
  <c r="H147" i="1"/>
  <c r="L146" i="1"/>
  <c r="K146" i="1"/>
  <c r="I146" i="1"/>
  <c r="H146" i="1"/>
  <c r="L145" i="1"/>
  <c r="K145" i="1"/>
  <c r="I145" i="1"/>
  <c r="H145" i="1"/>
  <c r="L144" i="1"/>
  <c r="K144" i="1"/>
  <c r="I144" i="1"/>
  <c r="H144" i="1"/>
  <c r="L143" i="1"/>
  <c r="K143" i="1"/>
  <c r="I143" i="1"/>
  <c r="H143" i="1"/>
  <c r="L142" i="1"/>
  <c r="K142" i="1"/>
  <c r="I142" i="1"/>
  <c r="H142" i="1"/>
  <c r="L141" i="1"/>
  <c r="K141" i="1"/>
  <c r="I141" i="1"/>
  <c r="H141" i="1"/>
  <c r="L140" i="1"/>
  <c r="K140" i="1"/>
  <c r="I140" i="1"/>
  <c r="H140" i="1"/>
  <c r="L139" i="1"/>
  <c r="K139" i="1"/>
  <c r="I139" i="1"/>
  <c r="H139" i="1"/>
  <c r="L138" i="1"/>
  <c r="K138" i="1"/>
  <c r="I138" i="1"/>
  <c r="H138" i="1"/>
  <c r="L137" i="1"/>
  <c r="K137" i="1"/>
  <c r="I137" i="1"/>
  <c r="H137" i="1"/>
  <c r="L136" i="1"/>
  <c r="K136" i="1"/>
  <c r="I136" i="1"/>
  <c r="H136" i="1"/>
  <c r="L135" i="1"/>
  <c r="K135" i="1"/>
  <c r="I135" i="1"/>
  <c r="H135" i="1"/>
  <c r="L134" i="1"/>
  <c r="K134" i="1"/>
  <c r="I134" i="1"/>
  <c r="H134" i="1"/>
  <c r="L133" i="1"/>
  <c r="K133" i="1"/>
  <c r="I133" i="1"/>
  <c r="H133" i="1"/>
  <c r="L132" i="1"/>
  <c r="K132" i="1"/>
  <c r="I132" i="1"/>
  <c r="H132" i="1"/>
  <c r="L131" i="1"/>
  <c r="K131" i="1"/>
  <c r="I131" i="1"/>
  <c r="H131" i="1"/>
  <c r="L130" i="1"/>
  <c r="K130" i="1"/>
  <c r="I130" i="1"/>
  <c r="H130" i="1"/>
  <c r="L129" i="1"/>
  <c r="K129" i="1"/>
  <c r="I129" i="1"/>
  <c r="H129" i="1"/>
  <c r="L128" i="1"/>
  <c r="K128" i="1"/>
  <c r="I128" i="1"/>
  <c r="H128" i="1"/>
  <c r="L127" i="1"/>
  <c r="K127" i="1"/>
  <c r="I127" i="1"/>
  <c r="H127" i="1"/>
  <c r="L126" i="1"/>
  <c r="K126" i="1"/>
  <c r="I126" i="1"/>
  <c r="H126" i="1"/>
  <c r="L125" i="1"/>
  <c r="K125" i="1"/>
  <c r="I125" i="1"/>
  <c r="H125" i="1"/>
  <c r="L124" i="1"/>
  <c r="K124" i="1"/>
  <c r="I124" i="1"/>
  <c r="H124" i="1"/>
  <c r="L123" i="1"/>
  <c r="K123" i="1"/>
  <c r="I123" i="1"/>
  <c r="H123" i="1"/>
  <c r="L122" i="1"/>
  <c r="K122" i="1"/>
  <c r="I122" i="1"/>
  <c r="H122" i="1"/>
  <c r="L121" i="1"/>
  <c r="K121" i="1"/>
  <c r="I121" i="1"/>
  <c r="H121" i="1"/>
  <c r="L120" i="1"/>
  <c r="K120" i="1"/>
  <c r="I120" i="1"/>
  <c r="H120" i="1"/>
  <c r="L119" i="1"/>
  <c r="K119" i="1"/>
  <c r="I119" i="1"/>
  <c r="H119" i="1"/>
  <c r="L118" i="1"/>
  <c r="K118" i="1"/>
  <c r="I118" i="1"/>
  <c r="H118" i="1"/>
  <c r="L117" i="1"/>
  <c r="K117" i="1"/>
  <c r="I117" i="1"/>
  <c r="H117" i="1"/>
  <c r="L116" i="1"/>
  <c r="K116" i="1"/>
  <c r="I116" i="1"/>
  <c r="H116" i="1"/>
  <c r="L115" i="1"/>
  <c r="K115" i="1"/>
  <c r="I115" i="1"/>
  <c r="H115" i="1"/>
  <c r="L114" i="1"/>
  <c r="K114" i="1"/>
  <c r="I114" i="1"/>
  <c r="H114" i="1"/>
  <c r="L113" i="1"/>
  <c r="K113" i="1"/>
  <c r="I113" i="1"/>
  <c r="H113" i="1"/>
  <c r="L112" i="1"/>
  <c r="K112" i="1"/>
  <c r="I112" i="1"/>
  <c r="H112" i="1"/>
  <c r="L111" i="1"/>
  <c r="K111" i="1"/>
  <c r="I111" i="1"/>
  <c r="H111" i="1"/>
  <c r="L110" i="1"/>
  <c r="K110" i="1"/>
  <c r="I110" i="1"/>
  <c r="H110" i="1"/>
  <c r="L109" i="1"/>
  <c r="K109" i="1"/>
  <c r="I109" i="1"/>
  <c r="H109" i="1"/>
  <c r="L108" i="1"/>
  <c r="K108" i="1"/>
  <c r="I108" i="1"/>
  <c r="H108" i="1"/>
  <c r="L107" i="1"/>
  <c r="K107" i="1"/>
  <c r="I107" i="1"/>
  <c r="H107" i="1"/>
  <c r="L106" i="1"/>
  <c r="K106" i="1"/>
  <c r="I106" i="1"/>
  <c r="H106" i="1"/>
  <c r="L105" i="1"/>
  <c r="K105" i="1"/>
  <c r="I105" i="1"/>
  <c r="H105" i="1"/>
  <c r="L104" i="1"/>
  <c r="K104" i="1"/>
  <c r="I104" i="1"/>
  <c r="H104" i="1"/>
  <c r="L103" i="1"/>
  <c r="K103" i="1"/>
  <c r="I103" i="1"/>
  <c r="H103" i="1"/>
  <c r="L102" i="1"/>
  <c r="K102" i="1"/>
  <c r="I102" i="1"/>
  <c r="H102" i="1"/>
  <c r="L101" i="1"/>
  <c r="K101" i="1"/>
  <c r="I101" i="1"/>
  <c r="H101" i="1"/>
  <c r="L100" i="1"/>
  <c r="K100" i="1"/>
  <c r="I100" i="1"/>
  <c r="H100" i="1"/>
  <c r="L99" i="1"/>
  <c r="K99" i="1"/>
  <c r="I99" i="1"/>
  <c r="H99" i="1"/>
  <c r="L98" i="1"/>
  <c r="K98" i="1"/>
  <c r="I98" i="1"/>
  <c r="H98" i="1"/>
  <c r="L97" i="1"/>
  <c r="K97" i="1"/>
  <c r="I97" i="1"/>
  <c r="H97" i="1"/>
  <c r="L96" i="1"/>
  <c r="K96" i="1"/>
  <c r="I96" i="1"/>
  <c r="H96" i="1"/>
  <c r="L95" i="1"/>
  <c r="K95" i="1"/>
  <c r="I95" i="1"/>
  <c r="H95" i="1"/>
  <c r="L94" i="1"/>
  <c r="K94" i="1"/>
  <c r="I94" i="1"/>
  <c r="H94" i="1"/>
  <c r="L93" i="1"/>
  <c r="K93" i="1"/>
  <c r="I93" i="1"/>
  <c r="H93" i="1"/>
  <c r="L92" i="1"/>
  <c r="K92" i="1"/>
  <c r="I92" i="1"/>
  <c r="H92" i="1"/>
  <c r="L91" i="1"/>
  <c r="K91" i="1"/>
  <c r="I91" i="1"/>
  <c r="H91" i="1"/>
  <c r="L90" i="1"/>
  <c r="K90" i="1"/>
  <c r="I90" i="1"/>
  <c r="H90" i="1"/>
  <c r="L89" i="1"/>
  <c r="K89" i="1"/>
  <c r="I89" i="1"/>
  <c r="H89" i="1"/>
  <c r="L88" i="1"/>
  <c r="K88" i="1"/>
  <c r="I88" i="1"/>
  <c r="H88" i="1"/>
  <c r="L87" i="1"/>
  <c r="K87" i="1"/>
  <c r="I87" i="1"/>
  <c r="H87" i="1"/>
  <c r="L86" i="1"/>
  <c r="K86" i="1"/>
  <c r="I86" i="1"/>
  <c r="H86" i="1"/>
  <c r="L85" i="1"/>
  <c r="K85" i="1"/>
  <c r="I85" i="1"/>
  <c r="H85" i="1"/>
  <c r="L84" i="1"/>
  <c r="K84" i="1"/>
  <c r="I84" i="1"/>
  <c r="H84" i="1"/>
  <c r="L83" i="1"/>
  <c r="K83" i="1"/>
  <c r="I83" i="1"/>
  <c r="H83" i="1"/>
  <c r="L82" i="1"/>
  <c r="K82" i="1"/>
  <c r="I82" i="1"/>
  <c r="H82" i="1"/>
  <c r="L81" i="1"/>
  <c r="K81" i="1"/>
  <c r="I81" i="1"/>
  <c r="H81" i="1"/>
  <c r="L80" i="1"/>
  <c r="K80" i="1"/>
  <c r="I80" i="1"/>
  <c r="H80" i="1"/>
  <c r="L79" i="1"/>
  <c r="K79" i="1"/>
  <c r="I79" i="1"/>
  <c r="H79" i="1"/>
  <c r="L78" i="1"/>
  <c r="K78" i="1"/>
  <c r="I78" i="1"/>
  <c r="H78" i="1"/>
  <c r="L77" i="1"/>
  <c r="K77" i="1"/>
  <c r="I77" i="1"/>
  <c r="H77" i="1"/>
  <c r="L76" i="1"/>
  <c r="K76" i="1"/>
  <c r="I76" i="1"/>
  <c r="H76" i="1"/>
  <c r="L75" i="1"/>
  <c r="K75" i="1"/>
  <c r="I75" i="1"/>
  <c r="H75" i="1"/>
  <c r="L74" i="1"/>
  <c r="K74" i="1"/>
  <c r="I74" i="1"/>
  <c r="H74" i="1"/>
  <c r="L73" i="1"/>
  <c r="K73" i="1"/>
  <c r="I73" i="1"/>
  <c r="H73" i="1"/>
  <c r="L72" i="1"/>
  <c r="K72" i="1"/>
  <c r="I72" i="1"/>
  <c r="H72" i="1"/>
  <c r="L71" i="1"/>
  <c r="K71" i="1"/>
  <c r="I71" i="1"/>
  <c r="H71" i="1"/>
  <c r="L70" i="1"/>
  <c r="K70" i="1"/>
  <c r="I70" i="1"/>
  <c r="H70" i="1"/>
  <c r="L69" i="1"/>
  <c r="K69" i="1"/>
  <c r="I69" i="1"/>
  <c r="H69" i="1"/>
  <c r="L68" i="1"/>
  <c r="K68" i="1"/>
  <c r="I68" i="1"/>
  <c r="H68" i="1"/>
  <c r="L67" i="1"/>
  <c r="K67" i="1"/>
  <c r="I67" i="1"/>
  <c r="H67" i="1"/>
  <c r="L66" i="1"/>
  <c r="K66" i="1"/>
  <c r="I66" i="1"/>
  <c r="H66" i="1"/>
  <c r="L65" i="1"/>
  <c r="K65" i="1"/>
  <c r="I65" i="1"/>
  <c r="H65" i="1"/>
  <c r="L64" i="1"/>
  <c r="K64" i="1"/>
  <c r="I64" i="1"/>
  <c r="H64" i="1"/>
  <c r="L63" i="1"/>
  <c r="K63" i="1"/>
  <c r="I63" i="1"/>
  <c r="H63" i="1"/>
  <c r="L62" i="1"/>
  <c r="K62" i="1"/>
  <c r="I62" i="1"/>
  <c r="H62" i="1"/>
  <c r="L61" i="1"/>
  <c r="K61" i="1"/>
  <c r="I61" i="1"/>
  <c r="H61" i="1"/>
  <c r="L60" i="1"/>
  <c r="K60" i="1"/>
  <c r="I60" i="1"/>
  <c r="H60" i="1"/>
  <c r="L59" i="1"/>
  <c r="K59" i="1"/>
  <c r="I59" i="1"/>
  <c r="H59" i="1"/>
  <c r="L58" i="1"/>
  <c r="K58" i="1"/>
  <c r="I58" i="1"/>
  <c r="H58" i="1"/>
  <c r="L57" i="1"/>
  <c r="K57" i="1"/>
  <c r="I57" i="1"/>
  <c r="H57" i="1"/>
  <c r="L56" i="1"/>
  <c r="K56" i="1"/>
  <c r="I56" i="1"/>
  <c r="H56" i="1"/>
  <c r="L55" i="1"/>
  <c r="K55" i="1"/>
  <c r="I55" i="1"/>
  <c r="H55" i="1"/>
  <c r="L54" i="1"/>
  <c r="K54" i="1"/>
  <c r="I54" i="1"/>
  <c r="H54" i="1"/>
  <c r="L53" i="1"/>
  <c r="K53" i="1"/>
  <c r="I53" i="1"/>
  <c r="H53" i="1"/>
  <c r="L52" i="1"/>
  <c r="K52" i="1"/>
  <c r="I52" i="1"/>
  <c r="H52" i="1"/>
  <c r="L51" i="1"/>
  <c r="K51" i="1"/>
  <c r="I51" i="1"/>
  <c r="H51" i="1"/>
  <c r="L50" i="1"/>
  <c r="K50" i="1"/>
  <c r="I50" i="1"/>
  <c r="H50" i="1"/>
  <c r="L49" i="1"/>
  <c r="K49" i="1"/>
  <c r="I49" i="1"/>
  <c r="H49" i="1"/>
  <c r="L48" i="1"/>
  <c r="K48" i="1"/>
  <c r="I48" i="1"/>
  <c r="H48" i="1"/>
  <c r="L47" i="1"/>
  <c r="K47" i="1"/>
  <c r="I47" i="1"/>
  <c r="H47" i="1"/>
  <c r="L46" i="1"/>
  <c r="K46" i="1"/>
  <c r="I46" i="1"/>
  <c r="H46" i="1"/>
  <c r="L45" i="1"/>
  <c r="K45" i="1"/>
  <c r="I45" i="1"/>
  <c r="H45" i="1"/>
  <c r="L44" i="1"/>
  <c r="K44" i="1"/>
  <c r="I44" i="1"/>
  <c r="H44" i="1"/>
  <c r="L43" i="1"/>
  <c r="K43" i="1"/>
  <c r="I43" i="1"/>
  <c r="H43" i="1"/>
  <c r="L42" i="1"/>
  <c r="K42" i="1"/>
  <c r="I42" i="1"/>
  <c r="H42" i="1"/>
  <c r="L41" i="1"/>
  <c r="K41" i="1"/>
  <c r="I41" i="1"/>
  <c r="H41" i="1"/>
  <c r="L40" i="1"/>
  <c r="K40" i="1"/>
  <c r="I40" i="1"/>
  <c r="H40" i="1"/>
  <c r="L39" i="1"/>
  <c r="K39" i="1"/>
  <c r="I39" i="1"/>
  <c r="H39" i="1"/>
  <c r="L38" i="1"/>
  <c r="K38" i="1"/>
  <c r="I38" i="1"/>
  <c r="H38" i="1"/>
  <c r="L37" i="1"/>
  <c r="K37" i="1"/>
  <c r="I37" i="1"/>
  <c r="H37" i="1"/>
  <c r="L36" i="1"/>
  <c r="K36" i="1"/>
  <c r="I36" i="1"/>
  <c r="H36" i="1"/>
  <c r="L35" i="1"/>
  <c r="K35" i="1"/>
  <c r="I35" i="1"/>
  <c r="H35" i="1"/>
  <c r="L34" i="1"/>
  <c r="K34" i="1"/>
  <c r="I34" i="1"/>
  <c r="H34" i="1"/>
  <c r="L33" i="1"/>
  <c r="K33" i="1"/>
  <c r="I33" i="1"/>
  <c r="H33" i="1"/>
  <c r="L32" i="1"/>
  <c r="K32" i="1"/>
  <c r="I32" i="1"/>
  <c r="H32" i="1"/>
  <c r="L31" i="1"/>
  <c r="K31" i="1"/>
  <c r="I31" i="1"/>
  <c r="H31" i="1"/>
  <c r="L30" i="1"/>
  <c r="K30" i="1"/>
  <c r="I30" i="1"/>
  <c r="H30" i="1"/>
  <c r="L29" i="1"/>
  <c r="K29" i="1"/>
  <c r="I29" i="1"/>
  <c r="H29" i="1"/>
  <c r="L28" i="1"/>
  <c r="K28" i="1"/>
  <c r="I28" i="1"/>
  <c r="H28" i="1"/>
  <c r="L27" i="1"/>
  <c r="K27" i="1"/>
  <c r="I27" i="1"/>
  <c r="H27" i="1"/>
  <c r="L26" i="1"/>
  <c r="K26" i="1"/>
  <c r="I26" i="1"/>
  <c r="H26" i="1"/>
  <c r="L25" i="1"/>
  <c r="K25" i="1"/>
  <c r="I25" i="1"/>
  <c r="H25" i="1"/>
  <c r="L24" i="1"/>
  <c r="K24" i="1"/>
  <c r="I24" i="1"/>
  <c r="H24" i="1"/>
  <c r="L23" i="1"/>
  <c r="K23" i="1"/>
  <c r="I23" i="1"/>
  <c r="H23" i="1"/>
  <c r="L22" i="1"/>
  <c r="K22" i="1"/>
  <c r="I22" i="1"/>
  <c r="H22" i="1"/>
  <c r="L21" i="1"/>
  <c r="K21" i="1"/>
  <c r="I21" i="1"/>
  <c r="H21" i="1"/>
  <c r="L20" i="1"/>
  <c r="K20" i="1"/>
  <c r="I20" i="1"/>
  <c r="H20" i="1"/>
  <c r="L19" i="1"/>
  <c r="K19" i="1"/>
  <c r="I19" i="1"/>
  <c r="H19" i="1"/>
  <c r="L18" i="1"/>
  <c r="K18" i="1"/>
  <c r="I18" i="1"/>
  <c r="H18" i="1"/>
  <c r="L17" i="1"/>
  <c r="K17" i="1"/>
  <c r="I17" i="1"/>
  <c r="H17" i="1"/>
  <c r="L16" i="1"/>
  <c r="K16" i="1"/>
  <c r="I16" i="1"/>
  <c r="H16" i="1"/>
  <c r="L15" i="1"/>
  <c r="K15" i="1"/>
  <c r="I15" i="1"/>
  <c r="H15" i="1"/>
  <c r="L14" i="1"/>
  <c r="K14" i="1"/>
  <c r="I14" i="1"/>
  <c r="H14" i="1"/>
  <c r="L13" i="1"/>
  <c r="K13" i="1"/>
  <c r="I13" i="1"/>
  <c r="H13" i="1"/>
  <c r="L12" i="1"/>
  <c r="K12" i="1"/>
  <c r="I12" i="1"/>
  <c r="H12" i="1"/>
  <c r="L11" i="1"/>
  <c r="K11" i="1"/>
  <c r="I11" i="1"/>
  <c r="H11" i="1"/>
  <c r="L10" i="1"/>
  <c r="K10" i="1"/>
  <c r="I10" i="1"/>
  <c r="H10" i="1"/>
  <c r="L9" i="1"/>
  <c r="K9" i="1"/>
  <c r="I9" i="1"/>
  <c r="H9" i="1"/>
  <c r="L8" i="1"/>
  <c r="K8" i="1"/>
  <c r="I8" i="1"/>
  <c r="H8" i="1"/>
  <c r="L7" i="1"/>
  <c r="K7" i="1"/>
  <c r="I7" i="1"/>
  <c r="H7" i="1"/>
  <c r="L6" i="1"/>
  <c r="K6" i="1"/>
  <c r="I6" i="1"/>
  <c r="H6" i="1"/>
  <c r="L5" i="1"/>
  <c r="K5" i="1"/>
  <c r="I5" i="1"/>
  <c r="H5" i="1"/>
  <c r="L4" i="1"/>
  <c r="K4" i="1"/>
  <c r="I4" i="1"/>
  <c r="H4" i="1"/>
  <c r="L3" i="1"/>
  <c r="K3" i="1"/>
  <c r="I3" i="1"/>
  <c r="H3" i="1"/>
  <c r="L2" i="1"/>
  <c r="K2" i="1"/>
  <c r="I2" i="1"/>
  <c r="H2" i="1"/>
</calcChain>
</file>

<file path=xl/sharedStrings.xml><?xml version="1.0" encoding="utf-8"?>
<sst xmlns="http://schemas.openxmlformats.org/spreadsheetml/2006/main" count="654" uniqueCount="56">
  <si>
    <t>Ticker</t>
  </si>
  <si>
    <t>Nome do Fundo</t>
  </si>
  <si>
    <t>Segmento</t>
  </si>
  <si>
    <t>Período</t>
  </si>
  <si>
    <t>Cotas</t>
  </si>
  <si>
    <t>Preço Atual</t>
  </si>
  <si>
    <t>VP por Cota</t>
  </si>
  <si>
    <t>P/VP</t>
  </si>
  <si>
    <t>Valor Total</t>
  </si>
  <si>
    <t>Rendimento / Cota</t>
  </si>
  <si>
    <t>DY Mensal</t>
  </si>
  <si>
    <t>Renda Mensal</t>
  </si>
  <si>
    <t>HGLG11</t>
  </si>
  <si>
    <t>CSHG Logística</t>
  </si>
  <si>
    <t>Logística</t>
  </si>
  <si>
    <t>KNIP11</t>
  </si>
  <si>
    <t>Kinea Rendimentos Imobiliários</t>
  </si>
  <si>
    <t>Papel / CRI</t>
  </si>
  <si>
    <t>XPML11</t>
  </si>
  <si>
    <t>XP Malls FII</t>
  </si>
  <si>
    <t>Shoppings</t>
  </si>
  <si>
    <t>KNCR11</t>
  </si>
  <si>
    <t>Kinea Rendimentos CDI</t>
  </si>
  <si>
    <t>Papel / CDI</t>
  </si>
  <si>
    <t>BTLG11</t>
  </si>
  <si>
    <t>BTG Pactual Logística</t>
  </si>
  <si>
    <t>VISC11</t>
  </si>
  <si>
    <t>Vinci Shopping Centers</t>
  </si>
  <si>
    <t>HGRU11</t>
  </si>
  <si>
    <t>CSHG Renda Urbana</t>
  </si>
  <si>
    <t>Renda Urbana</t>
  </si>
  <si>
    <t>MXRF11</t>
  </si>
  <si>
    <t>Maxi Renda FII</t>
  </si>
  <si>
    <t>Papel / Híbrido</t>
  </si>
  <si>
    <t>PVBI11</t>
  </si>
  <si>
    <t>VBI Prime Properties</t>
  </si>
  <si>
    <t>Lajes Corporativas</t>
  </si>
  <si>
    <t>RZTR11</t>
  </si>
  <si>
    <t>Riza Terrax FII</t>
  </si>
  <si>
    <t>Agro / Terras</t>
  </si>
  <si>
    <t>ALZR11</t>
  </si>
  <si>
    <t>Alianza Trust Renda Imobiliária</t>
  </si>
  <si>
    <t>TRXF11</t>
  </si>
  <si>
    <t>TRX Real Estate</t>
  </si>
  <si>
    <t>BRCO11</t>
  </si>
  <si>
    <t>Bresco Logística</t>
  </si>
  <si>
    <t>CPTS11</t>
  </si>
  <si>
    <t>Capitânia Securities II</t>
  </si>
  <si>
    <t>KNSC11</t>
  </si>
  <si>
    <t>Kinea Séries Imobiliárias</t>
  </si>
  <si>
    <t>VGIR11</t>
  </si>
  <si>
    <t>Valora RE III</t>
  </si>
  <si>
    <t>HGCR11</t>
  </si>
  <si>
    <t>CSHG Recebíveis Imobiliários</t>
  </si>
  <si>
    <t>JSRE11</t>
  </si>
  <si>
    <t>JS Real Estate Multigestão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</si>
</sst>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yyyy"/>
    <numFmt numFmtId="165" formatCode="&quot;R$&quot;\ #,##0.00"/>
    <numFmt numFmtId="166" formatCode="m/yyyy"/>
  </numFmts>
  <fonts count="5" x14ac:knownFonts="1">
    <font>
      <sz val="10"/>
      <color rgb="FF000000"/>
      <name val="Arial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1C4966"/>
      <name val="Aptos"/>
      <family val="2"/>
    </font>
    <font>
      <sz val="10"/>
      <color rgb="FF191E26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266389"/>
        <bgColor rgb="FF266389"/>
      </patternFill>
    </fill>
    <fill>
      <patternFill patternType="solid">
        <fgColor rgb="FFF6F8FB"/>
        <bgColor rgb="FFF6F8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8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271810-F473-40EF-A0F8-6A4A9031B8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5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defaultColWidth="12.5703125" defaultRowHeight="13.5" x14ac:dyDescent="0.25"/>
  <cols>
    <col min="1" max="1" width="8" style="4" bestFit="1" customWidth="1"/>
    <col min="2" max="2" width="26.5703125" style="4" bestFit="1" customWidth="1"/>
    <col min="3" max="3" width="15.85546875" style="4" bestFit="1" customWidth="1"/>
    <col min="4" max="4" width="7.5703125" style="4" bestFit="1" customWidth="1"/>
    <col min="5" max="5" width="6" style="4" bestFit="1" customWidth="1"/>
    <col min="6" max="6" width="10.85546875" style="4" bestFit="1" customWidth="1"/>
    <col min="7" max="7" width="11" style="4" bestFit="1" customWidth="1"/>
    <col min="8" max="8" width="5.140625" style="4" bestFit="1" customWidth="1"/>
    <col min="9" max="9" width="11.7109375" style="4" bestFit="1" customWidth="1"/>
    <col min="10" max="10" width="17.28515625" style="4" bestFit="1" customWidth="1"/>
    <col min="11" max="11" width="10.140625" style="4" bestFit="1" customWidth="1"/>
    <col min="12" max="12" width="13.28515625" style="4" bestFit="1" customWidth="1"/>
    <col min="13" max="16384" width="12.5703125" style="4"/>
  </cols>
  <sheetData>
    <row r="1" spans="1:12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5" t="s">
        <v>12</v>
      </c>
      <c r="B2" s="6" t="s">
        <v>13</v>
      </c>
      <c r="C2" s="6" t="s">
        <v>14</v>
      </c>
      <c r="D2" s="7">
        <v>45292</v>
      </c>
      <c r="E2" s="8">
        <v>80</v>
      </c>
      <c r="F2" s="9">
        <v>164.5</v>
      </c>
      <c r="G2" s="9">
        <v>156.80000000000001</v>
      </c>
      <c r="H2" s="10">
        <f t="shared" ref="H2:H215" si="0">F2/G2</f>
        <v>1.0491071428571428</v>
      </c>
      <c r="I2" s="9">
        <f t="shared" ref="I2:I215" si="1">E2*F2</f>
        <v>13160</v>
      </c>
      <c r="J2" s="9">
        <v>1.1000000000000001</v>
      </c>
      <c r="K2" s="11">
        <f t="shared" ref="K2:K215" si="2">J2/F2</f>
        <v>6.6869300911854106E-3</v>
      </c>
      <c r="L2" s="9">
        <f t="shared" ref="L2:L215" si="3">E2*J2</f>
        <v>88</v>
      </c>
    </row>
    <row r="3" spans="1:12" x14ac:dyDescent="0.25">
      <c r="A3" s="12" t="s">
        <v>15</v>
      </c>
      <c r="B3" s="13" t="s">
        <v>16</v>
      </c>
      <c r="C3" s="13" t="s">
        <v>17</v>
      </c>
      <c r="D3" s="14">
        <v>45292</v>
      </c>
      <c r="E3" s="15">
        <v>120</v>
      </c>
      <c r="F3" s="16">
        <v>94.8</v>
      </c>
      <c r="G3" s="16">
        <v>97.2</v>
      </c>
      <c r="H3" s="17">
        <f t="shared" si="0"/>
        <v>0.97530864197530853</v>
      </c>
      <c r="I3" s="16">
        <f t="shared" si="1"/>
        <v>11376</v>
      </c>
      <c r="J3" s="16">
        <v>0.95</v>
      </c>
      <c r="K3" s="18">
        <f t="shared" si="2"/>
        <v>1.0021097046413501E-2</v>
      </c>
      <c r="L3" s="9">
        <f t="shared" si="3"/>
        <v>114</v>
      </c>
    </row>
    <row r="4" spans="1:12" x14ac:dyDescent="0.25">
      <c r="A4" s="5" t="s">
        <v>18</v>
      </c>
      <c r="B4" s="6" t="s">
        <v>19</v>
      </c>
      <c r="C4" s="6" t="s">
        <v>20</v>
      </c>
      <c r="D4" s="7">
        <v>45292</v>
      </c>
      <c r="E4" s="8">
        <v>100</v>
      </c>
      <c r="F4" s="9">
        <v>108.2</v>
      </c>
      <c r="G4" s="9">
        <v>112.5</v>
      </c>
      <c r="H4" s="10">
        <f t="shared" si="0"/>
        <v>0.96177777777777784</v>
      </c>
      <c r="I4" s="9">
        <f t="shared" si="1"/>
        <v>10820</v>
      </c>
      <c r="J4" s="9">
        <v>0.92</v>
      </c>
      <c r="K4" s="11">
        <f t="shared" si="2"/>
        <v>8.5027726432532341E-3</v>
      </c>
      <c r="L4" s="9">
        <f t="shared" si="3"/>
        <v>92</v>
      </c>
    </row>
    <row r="5" spans="1:12" x14ac:dyDescent="0.25">
      <c r="A5" s="12" t="s">
        <v>21</v>
      </c>
      <c r="B5" s="13" t="s">
        <v>22</v>
      </c>
      <c r="C5" s="13" t="s">
        <v>23</v>
      </c>
      <c r="D5" s="14">
        <v>45292</v>
      </c>
      <c r="E5" s="15">
        <v>150</v>
      </c>
      <c r="F5" s="16">
        <v>103.4</v>
      </c>
      <c r="G5" s="16">
        <v>101.8</v>
      </c>
      <c r="H5" s="17">
        <f t="shared" si="0"/>
        <v>1.0157170923379175</v>
      </c>
      <c r="I5" s="16">
        <f t="shared" si="1"/>
        <v>15510</v>
      </c>
      <c r="J5" s="16">
        <v>1.05</v>
      </c>
      <c r="K5" s="18">
        <f t="shared" si="2"/>
        <v>1.0154738878143133E-2</v>
      </c>
      <c r="L5" s="9">
        <f t="shared" si="3"/>
        <v>157.5</v>
      </c>
    </row>
    <row r="6" spans="1:12" x14ac:dyDescent="0.25">
      <c r="A6" s="5" t="s">
        <v>24</v>
      </c>
      <c r="B6" s="6" t="s">
        <v>25</v>
      </c>
      <c r="C6" s="6" t="s">
        <v>14</v>
      </c>
      <c r="D6" s="7">
        <v>45292</v>
      </c>
      <c r="E6" s="8">
        <v>90</v>
      </c>
      <c r="F6" s="9">
        <v>101.9</v>
      </c>
      <c r="G6" s="9">
        <v>99.4</v>
      </c>
      <c r="H6" s="10">
        <f t="shared" si="0"/>
        <v>1.0251509054325956</v>
      </c>
      <c r="I6" s="9">
        <f t="shared" si="1"/>
        <v>9171</v>
      </c>
      <c r="J6" s="9">
        <v>0.78</v>
      </c>
      <c r="K6" s="11">
        <f t="shared" si="2"/>
        <v>7.6545632973503436E-3</v>
      </c>
      <c r="L6" s="9">
        <f t="shared" si="3"/>
        <v>70.2</v>
      </c>
    </row>
    <row r="7" spans="1:12" x14ac:dyDescent="0.25">
      <c r="A7" s="12" t="s">
        <v>26</v>
      </c>
      <c r="B7" s="13" t="s">
        <v>27</v>
      </c>
      <c r="C7" s="13" t="s">
        <v>20</v>
      </c>
      <c r="D7" s="14">
        <v>45292</v>
      </c>
      <c r="E7" s="15">
        <v>110</v>
      </c>
      <c r="F7" s="16">
        <v>118</v>
      </c>
      <c r="G7" s="16">
        <v>125.3</v>
      </c>
      <c r="H7" s="17">
        <f t="shared" si="0"/>
        <v>0.9417398244213887</v>
      </c>
      <c r="I7" s="16">
        <f t="shared" si="1"/>
        <v>12980</v>
      </c>
      <c r="J7" s="16">
        <v>1</v>
      </c>
      <c r="K7" s="18">
        <f t="shared" si="2"/>
        <v>8.4745762711864406E-3</v>
      </c>
      <c r="L7" s="9">
        <f t="shared" si="3"/>
        <v>110</v>
      </c>
    </row>
    <row r="8" spans="1:12" x14ac:dyDescent="0.25">
      <c r="A8" s="5" t="s">
        <v>28</v>
      </c>
      <c r="B8" s="6" t="s">
        <v>29</v>
      </c>
      <c r="C8" s="6" t="s">
        <v>30</v>
      </c>
      <c r="D8" s="7">
        <v>45292</v>
      </c>
      <c r="E8" s="8">
        <v>75</v>
      </c>
      <c r="F8" s="9">
        <v>127.3</v>
      </c>
      <c r="G8" s="9">
        <v>124.6</v>
      </c>
      <c r="H8" s="10">
        <f t="shared" si="0"/>
        <v>1.021669341894061</v>
      </c>
      <c r="I8" s="9">
        <f t="shared" si="1"/>
        <v>9547.5</v>
      </c>
      <c r="J8" s="9">
        <v>0.9</v>
      </c>
      <c r="K8" s="11">
        <f t="shared" si="2"/>
        <v>7.0699135899450118E-3</v>
      </c>
      <c r="L8" s="9">
        <f t="shared" si="3"/>
        <v>67.5</v>
      </c>
    </row>
    <row r="9" spans="1:12" x14ac:dyDescent="0.25">
      <c r="A9" s="12" t="s">
        <v>31</v>
      </c>
      <c r="B9" s="13" t="s">
        <v>32</v>
      </c>
      <c r="C9" s="13" t="s">
        <v>33</v>
      </c>
      <c r="D9" s="14">
        <v>45292</v>
      </c>
      <c r="E9" s="15">
        <v>500</v>
      </c>
      <c r="F9" s="16">
        <v>10.25</v>
      </c>
      <c r="G9" s="16">
        <v>9.85</v>
      </c>
      <c r="H9" s="17">
        <f t="shared" si="0"/>
        <v>1.0406091370558377</v>
      </c>
      <c r="I9" s="16">
        <f t="shared" si="1"/>
        <v>5125</v>
      </c>
      <c r="J9" s="16">
        <v>0.1</v>
      </c>
      <c r="K9" s="18">
        <f t="shared" si="2"/>
        <v>9.7560975609756097E-3</v>
      </c>
      <c r="L9" s="9">
        <f t="shared" si="3"/>
        <v>50</v>
      </c>
    </row>
    <row r="10" spans="1:12" x14ac:dyDescent="0.25">
      <c r="A10" s="5" t="s">
        <v>34</v>
      </c>
      <c r="B10" s="6" t="s">
        <v>35</v>
      </c>
      <c r="C10" s="6" t="s">
        <v>36</v>
      </c>
      <c r="D10" s="7">
        <v>45292</v>
      </c>
      <c r="E10" s="8">
        <v>85</v>
      </c>
      <c r="F10" s="9">
        <v>88.5</v>
      </c>
      <c r="G10" s="9">
        <v>99.1</v>
      </c>
      <c r="H10" s="10">
        <f t="shared" si="0"/>
        <v>0.89303733602421798</v>
      </c>
      <c r="I10" s="9">
        <f t="shared" si="1"/>
        <v>7522.5</v>
      </c>
      <c r="J10" s="9">
        <v>0.7</v>
      </c>
      <c r="K10" s="11">
        <f t="shared" si="2"/>
        <v>7.9096045197740109E-3</v>
      </c>
      <c r="L10" s="9">
        <f t="shared" si="3"/>
        <v>59.499999999999993</v>
      </c>
    </row>
    <row r="11" spans="1:12" x14ac:dyDescent="0.25">
      <c r="A11" s="12" t="s">
        <v>37</v>
      </c>
      <c r="B11" s="13" t="s">
        <v>38</v>
      </c>
      <c r="C11" s="13" t="s">
        <v>39</v>
      </c>
      <c r="D11" s="14">
        <v>45292</v>
      </c>
      <c r="E11" s="15">
        <v>60</v>
      </c>
      <c r="F11" s="16">
        <v>96</v>
      </c>
      <c r="G11" s="16">
        <v>98.4</v>
      </c>
      <c r="H11" s="17">
        <f t="shared" si="0"/>
        <v>0.97560975609756095</v>
      </c>
      <c r="I11" s="16">
        <f t="shared" si="1"/>
        <v>5760</v>
      </c>
      <c r="J11" s="16">
        <v>0.85</v>
      </c>
      <c r="K11" s="18">
        <f t="shared" si="2"/>
        <v>8.8541666666666664E-3</v>
      </c>
      <c r="L11" s="9">
        <f t="shared" si="3"/>
        <v>51</v>
      </c>
    </row>
    <row r="12" spans="1:12" x14ac:dyDescent="0.25">
      <c r="A12" s="5" t="s">
        <v>40</v>
      </c>
      <c r="B12" s="6" t="s">
        <v>41</v>
      </c>
      <c r="C12" s="6" t="s">
        <v>30</v>
      </c>
      <c r="D12" s="7">
        <v>45292</v>
      </c>
      <c r="E12" s="8">
        <v>70</v>
      </c>
      <c r="F12" s="9">
        <v>114.5</v>
      </c>
      <c r="G12" s="9">
        <v>109.8</v>
      </c>
      <c r="H12" s="10">
        <f t="shared" si="0"/>
        <v>1.0428051001821494</v>
      </c>
      <c r="I12" s="9">
        <f t="shared" si="1"/>
        <v>8015</v>
      </c>
      <c r="J12" s="9">
        <v>0.82</v>
      </c>
      <c r="K12" s="11">
        <f t="shared" si="2"/>
        <v>7.1615720524017459E-3</v>
      </c>
      <c r="L12" s="9">
        <f t="shared" si="3"/>
        <v>57.4</v>
      </c>
    </row>
    <row r="13" spans="1:12" x14ac:dyDescent="0.25">
      <c r="A13" s="5" t="s">
        <v>42</v>
      </c>
      <c r="B13" s="6" t="s">
        <v>43</v>
      </c>
      <c r="C13" s="6" t="s">
        <v>30</v>
      </c>
      <c r="D13" s="7">
        <v>45292</v>
      </c>
      <c r="E13" s="8">
        <v>85</v>
      </c>
      <c r="F13" s="9">
        <v>106.8</v>
      </c>
      <c r="G13" s="9">
        <v>103.2</v>
      </c>
      <c r="H13" s="10">
        <f t="shared" si="0"/>
        <v>1.0348837209302324</v>
      </c>
      <c r="I13" s="9">
        <f t="shared" si="1"/>
        <v>9078</v>
      </c>
      <c r="J13" s="9">
        <v>0.93</v>
      </c>
      <c r="K13" s="11">
        <f t="shared" si="2"/>
        <v>8.707865168539327E-3</v>
      </c>
      <c r="L13" s="9">
        <f t="shared" si="3"/>
        <v>79.05</v>
      </c>
    </row>
    <row r="14" spans="1:12" x14ac:dyDescent="0.25">
      <c r="A14" s="5" t="s">
        <v>44</v>
      </c>
      <c r="B14" s="6" t="s">
        <v>45</v>
      </c>
      <c r="C14" s="6" t="s">
        <v>14</v>
      </c>
      <c r="D14" s="7">
        <v>45292</v>
      </c>
      <c r="E14" s="8">
        <v>65</v>
      </c>
      <c r="F14" s="9">
        <v>121.4</v>
      </c>
      <c r="G14" s="9">
        <v>123</v>
      </c>
      <c r="H14" s="10">
        <f t="shared" si="0"/>
        <v>0.98699186991869925</v>
      </c>
      <c r="I14" s="9">
        <f t="shared" si="1"/>
        <v>7891</v>
      </c>
      <c r="J14" s="9">
        <v>0.88</v>
      </c>
      <c r="K14" s="11">
        <f t="shared" si="2"/>
        <v>7.2487644151565068E-3</v>
      </c>
      <c r="L14" s="9">
        <f t="shared" si="3"/>
        <v>57.2</v>
      </c>
    </row>
    <row r="15" spans="1:12" x14ac:dyDescent="0.25">
      <c r="A15" s="5" t="s">
        <v>46</v>
      </c>
      <c r="B15" s="6" t="s">
        <v>47</v>
      </c>
      <c r="C15" s="6" t="s">
        <v>17</v>
      </c>
      <c r="D15" s="7">
        <v>45292</v>
      </c>
      <c r="E15" s="8">
        <v>600</v>
      </c>
      <c r="F15" s="9">
        <v>8.25</v>
      </c>
      <c r="G15" s="9">
        <v>8.85</v>
      </c>
      <c r="H15" s="10">
        <f t="shared" si="0"/>
        <v>0.93220338983050854</v>
      </c>
      <c r="I15" s="9">
        <f t="shared" si="1"/>
        <v>4950</v>
      </c>
      <c r="J15" s="9">
        <v>0.08</v>
      </c>
      <c r="K15" s="11">
        <f t="shared" si="2"/>
        <v>9.696969696969697E-3</v>
      </c>
      <c r="L15" s="9">
        <f t="shared" si="3"/>
        <v>48</v>
      </c>
    </row>
    <row r="16" spans="1:12" x14ac:dyDescent="0.25">
      <c r="A16" s="5" t="s">
        <v>48</v>
      </c>
      <c r="B16" s="6" t="s">
        <v>49</v>
      </c>
      <c r="C16" s="6" t="s">
        <v>17</v>
      </c>
      <c r="D16" s="7">
        <v>45292</v>
      </c>
      <c r="E16" s="8">
        <v>550</v>
      </c>
      <c r="F16" s="9">
        <v>9.15</v>
      </c>
      <c r="G16" s="9">
        <v>9.1999999999999993</v>
      </c>
      <c r="H16" s="10">
        <f t="shared" si="0"/>
        <v>0.99456521739130443</v>
      </c>
      <c r="I16" s="9">
        <f t="shared" si="1"/>
        <v>5032.5</v>
      </c>
      <c r="J16" s="9">
        <v>0.09</v>
      </c>
      <c r="K16" s="11">
        <f t="shared" si="2"/>
        <v>9.8360655737704909E-3</v>
      </c>
      <c r="L16" s="9">
        <f t="shared" si="3"/>
        <v>49.5</v>
      </c>
    </row>
    <row r="17" spans="1:12" x14ac:dyDescent="0.25">
      <c r="A17" s="5" t="s">
        <v>50</v>
      </c>
      <c r="B17" s="6" t="s">
        <v>51</v>
      </c>
      <c r="C17" s="6" t="s">
        <v>23</v>
      </c>
      <c r="D17" s="7">
        <v>45292</v>
      </c>
      <c r="E17" s="8">
        <v>450</v>
      </c>
      <c r="F17" s="9">
        <v>9.85</v>
      </c>
      <c r="G17" s="9">
        <v>9.75</v>
      </c>
      <c r="H17" s="10">
        <f t="shared" si="0"/>
        <v>1.0102564102564102</v>
      </c>
      <c r="I17" s="9">
        <f t="shared" si="1"/>
        <v>4432.5</v>
      </c>
      <c r="J17" s="9">
        <v>0.11</v>
      </c>
      <c r="K17" s="11">
        <f t="shared" si="2"/>
        <v>1.1167512690355331E-2</v>
      </c>
      <c r="L17" s="9">
        <f t="shared" si="3"/>
        <v>49.5</v>
      </c>
    </row>
    <row r="18" spans="1:12" x14ac:dyDescent="0.25">
      <c r="A18" s="5" t="s">
        <v>52</v>
      </c>
      <c r="B18" s="6" t="s">
        <v>53</v>
      </c>
      <c r="C18" s="6" t="s">
        <v>17</v>
      </c>
      <c r="D18" s="7">
        <v>45292</v>
      </c>
      <c r="E18" s="8">
        <v>95</v>
      </c>
      <c r="F18" s="9">
        <v>103.5</v>
      </c>
      <c r="G18" s="9">
        <v>102.1</v>
      </c>
      <c r="H18" s="10">
        <f t="shared" si="0"/>
        <v>1.0137120470127328</v>
      </c>
      <c r="I18" s="9">
        <f t="shared" si="1"/>
        <v>9832.5</v>
      </c>
      <c r="J18" s="9">
        <v>1.1000000000000001</v>
      </c>
      <c r="K18" s="11">
        <f t="shared" si="2"/>
        <v>1.0628019323671498E-2</v>
      </c>
      <c r="L18" s="9">
        <f t="shared" si="3"/>
        <v>104.50000000000001</v>
      </c>
    </row>
    <row r="19" spans="1:12" x14ac:dyDescent="0.25">
      <c r="A19" s="5" t="s">
        <v>54</v>
      </c>
      <c r="B19" s="6" t="s">
        <v>55</v>
      </c>
      <c r="C19" s="6" t="s">
        <v>36</v>
      </c>
      <c r="D19" s="7">
        <v>45292</v>
      </c>
      <c r="E19" s="8">
        <v>110</v>
      </c>
      <c r="F19" s="9">
        <v>72.5</v>
      </c>
      <c r="G19" s="9">
        <v>111</v>
      </c>
      <c r="H19" s="10">
        <f t="shared" si="0"/>
        <v>0.65315315315315314</v>
      </c>
      <c r="I19" s="9">
        <f t="shared" si="1"/>
        <v>7975</v>
      </c>
      <c r="J19" s="9">
        <v>0.5</v>
      </c>
      <c r="K19" s="11">
        <f t="shared" si="2"/>
        <v>6.8965517241379309E-3</v>
      </c>
      <c r="L19" s="9">
        <f t="shared" si="3"/>
        <v>55</v>
      </c>
    </row>
    <row r="20" spans="1:12" x14ac:dyDescent="0.25">
      <c r="A20" s="5" t="s">
        <v>12</v>
      </c>
      <c r="B20" s="6" t="s">
        <v>13</v>
      </c>
      <c r="C20" s="6" t="s">
        <v>14</v>
      </c>
      <c r="D20" s="7">
        <v>45323</v>
      </c>
      <c r="E20" s="8">
        <v>80</v>
      </c>
      <c r="F20" s="9">
        <v>165.2</v>
      </c>
      <c r="G20" s="9">
        <v>156.80000000000001</v>
      </c>
      <c r="H20" s="10">
        <f t="shared" si="0"/>
        <v>1.0535714285714284</v>
      </c>
      <c r="I20" s="9">
        <f t="shared" si="1"/>
        <v>13216</v>
      </c>
      <c r="J20" s="9">
        <v>1.1000000000000001</v>
      </c>
      <c r="K20" s="11">
        <f t="shared" si="2"/>
        <v>6.6585956416464901E-3</v>
      </c>
      <c r="L20" s="9">
        <f t="shared" si="3"/>
        <v>88</v>
      </c>
    </row>
    <row r="21" spans="1:12" x14ac:dyDescent="0.25">
      <c r="A21" s="5" t="s">
        <v>15</v>
      </c>
      <c r="B21" s="6" t="s">
        <v>16</v>
      </c>
      <c r="C21" s="6" t="s">
        <v>17</v>
      </c>
      <c r="D21" s="7">
        <v>45323</v>
      </c>
      <c r="E21" s="8">
        <v>120</v>
      </c>
      <c r="F21" s="9">
        <v>95.1</v>
      </c>
      <c r="G21" s="9">
        <v>97.25</v>
      </c>
      <c r="H21" s="10">
        <f t="shared" si="0"/>
        <v>0.97789203084832899</v>
      </c>
      <c r="I21" s="9">
        <f t="shared" si="1"/>
        <v>11412</v>
      </c>
      <c r="J21" s="9">
        <v>0.96</v>
      </c>
      <c r="K21" s="11">
        <f t="shared" si="2"/>
        <v>1.0094637223974764E-2</v>
      </c>
      <c r="L21" s="9">
        <f t="shared" si="3"/>
        <v>115.19999999999999</v>
      </c>
    </row>
    <row r="22" spans="1:12" x14ac:dyDescent="0.25">
      <c r="A22" s="5" t="s">
        <v>18</v>
      </c>
      <c r="B22" s="6" t="s">
        <v>19</v>
      </c>
      <c r="C22" s="6" t="s">
        <v>20</v>
      </c>
      <c r="D22" s="7">
        <v>45323</v>
      </c>
      <c r="E22" s="8">
        <v>100</v>
      </c>
      <c r="F22" s="9">
        <v>109</v>
      </c>
      <c r="G22" s="9">
        <v>112.5</v>
      </c>
      <c r="H22" s="10">
        <f t="shared" si="0"/>
        <v>0.96888888888888891</v>
      </c>
      <c r="I22" s="9">
        <f t="shared" si="1"/>
        <v>10900</v>
      </c>
      <c r="J22" s="9">
        <v>0.92</v>
      </c>
      <c r="K22" s="11">
        <f t="shared" si="2"/>
        <v>8.4403669724770654E-3</v>
      </c>
      <c r="L22" s="9">
        <f t="shared" si="3"/>
        <v>92</v>
      </c>
    </row>
    <row r="23" spans="1:12" x14ac:dyDescent="0.25">
      <c r="A23" s="5" t="s">
        <v>21</v>
      </c>
      <c r="B23" s="6" t="s">
        <v>22</v>
      </c>
      <c r="C23" s="6" t="s">
        <v>23</v>
      </c>
      <c r="D23" s="7">
        <v>45323</v>
      </c>
      <c r="E23" s="8">
        <v>150</v>
      </c>
      <c r="F23" s="9">
        <v>103.8</v>
      </c>
      <c r="G23" s="9">
        <v>101.9</v>
      </c>
      <c r="H23" s="10">
        <f t="shared" si="0"/>
        <v>1.0186457311089303</v>
      </c>
      <c r="I23" s="9">
        <f t="shared" si="1"/>
        <v>15570</v>
      </c>
      <c r="J23" s="9">
        <v>1.05</v>
      </c>
      <c r="K23" s="11">
        <f t="shared" si="2"/>
        <v>1.0115606936416185E-2</v>
      </c>
      <c r="L23" s="9">
        <f t="shared" si="3"/>
        <v>157.5</v>
      </c>
    </row>
    <row r="24" spans="1:12" x14ac:dyDescent="0.25">
      <c r="A24" s="5" t="s">
        <v>24</v>
      </c>
      <c r="B24" s="6" t="s">
        <v>25</v>
      </c>
      <c r="C24" s="6" t="s">
        <v>14</v>
      </c>
      <c r="D24" s="7">
        <v>45323</v>
      </c>
      <c r="E24" s="8">
        <v>90</v>
      </c>
      <c r="F24" s="9">
        <v>102.3</v>
      </c>
      <c r="G24" s="9">
        <v>99.5</v>
      </c>
      <c r="H24" s="10">
        <f t="shared" si="0"/>
        <v>1.028140703517588</v>
      </c>
      <c r="I24" s="9">
        <f t="shared" si="1"/>
        <v>9207</v>
      </c>
      <c r="J24" s="9">
        <v>0.78</v>
      </c>
      <c r="K24" s="11">
        <f t="shared" si="2"/>
        <v>7.6246334310850448E-3</v>
      </c>
      <c r="L24" s="9">
        <f t="shared" si="3"/>
        <v>70.2</v>
      </c>
    </row>
    <row r="25" spans="1:12" x14ac:dyDescent="0.25">
      <c r="A25" s="5" t="s">
        <v>26</v>
      </c>
      <c r="B25" s="6" t="s">
        <v>27</v>
      </c>
      <c r="C25" s="6" t="s">
        <v>20</v>
      </c>
      <c r="D25" s="7">
        <v>45323</v>
      </c>
      <c r="E25" s="8">
        <v>110</v>
      </c>
      <c r="F25" s="9">
        <v>118.5</v>
      </c>
      <c r="G25" s="9">
        <v>125.3</v>
      </c>
      <c r="H25" s="10">
        <f t="shared" si="0"/>
        <v>0.94573024740622513</v>
      </c>
      <c r="I25" s="9">
        <f t="shared" si="1"/>
        <v>13035</v>
      </c>
      <c r="J25" s="9">
        <v>1</v>
      </c>
      <c r="K25" s="11">
        <f t="shared" si="2"/>
        <v>8.4388185654008432E-3</v>
      </c>
      <c r="L25" s="9">
        <f t="shared" si="3"/>
        <v>110</v>
      </c>
    </row>
    <row r="26" spans="1:12" x14ac:dyDescent="0.25">
      <c r="A26" s="5" t="s">
        <v>28</v>
      </c>
      <c r="B26" s="6" t="s">
        <v>29</v>
      </c>
      <c r="C26" s="6" t="s">
        <v>30</v>
      </c>
      <c r="D26" s="7">
        <v>45323</v>
      </c>
      <c r="E26" s="8">
        <v>75</v>
      </c>
      <c r="F26" s="9">
        <v>127.8</v>
      </c>
      <c r="G26" s="9">
        <v>124.7</v>
      </c>
      <c r="H26" s="10">
        <f t="shared" si="0"/>
        <v>1.02485966319166</v>
      </c>
      <c r="I26" s="9">
        <f t="shared" si="1"/>
        <v>9585</v>
      </c>
      <c r="J26" s="9">
        <v>0.9</v>
      </c>
      <c r="K26" s="11">
        <f t="shared" si="2"/>
        <v>7.0422535211267607E-3</v>
      </c>
      <c r="L26" s="9">
        <f t="shared" si="3"/>
        <v>67.5</v>
      </c>
    </row>
    <row r="27" spans="1:12" x14ac:dyDescent="0.25">
      <c r="A27" s="5" t="s">
        <v>31</v>
      </c>
      <c r="B27" s="6" t="s">
        <v>32</v>
      </c>
      <c r="C27" s="6" t="s">
        <v>33</v>
      </c>
      <c r="D27" s="7">
        <v>45323</v>
      </c>
      <c r="E27" s="8">
        <v>500</v>
      </c>
      <c r="F27" s="9">
        <v>10.3</v>
      </c>
      <c r="G27" s="9">
        <v>9.85</v>
      </c>
      <c r="H27" s="10">
        <f t="shared" si="0"/>
        <v>1.0456852791878173</v>
      </c>
      <c r="I27" s="9">
        <f t="shared" si="1"/>
        <v>5150</v>
      </c>
      <c r="J27" s="9">
        <v>0.1</v>
      </c>
      <c r="K27" s="11">
        <f t="shared" si="2"/>
        <v>9.7087378640776691E-3</v>
      </c>
      <c r="L27" s="9">
        <f t="shared" si="3"/>
        <v>50</v>
      </c>
    </row>
    <row r="28" spans="1:12" x14ac:dyDescent="0.25">
      <c r="A28" s="5" t="s">
        <v>34</v>
      </c>
      <c r="B28" s="6" t="s">
        <v>35</v>
      </c>
      <c r="C28" s="6" t="s">
        <v>36</v>
      </c>
      <c r="D28" s="7">
        <v>45323</v>
      </c>
      <c r="E28" s="8">
        <v>85</v>
      </c>
      <c r="F28" s="9">
        <v>88.9</v>
      </c>
      <c r="G28" s="9">
        <v>99.1</v>
      </c>
      <c r="H28" s="10">
        <f t="shared" si="0"/>
        <v>0.89707366296670044</v>
      </c>
      <c r="I28" s="9">
        <f t="shared" si="1"/>
        <v>7556.5000000000009</v>
      </c>
      <c r="J28" s="9">
        <v>0.7</v>
      </c>
      <c r="K28" s="11">
        <f t="shared" si="2"/>
        <v>7.8740157480314942E-3</v>
      </c>
      <c r="L28" s="9">
        <f t="shared" si="3"/>
        <v>59.499999999999993</v>
      </c>
    </row>
    <row r="29" spans="1:12" x14ac:dyDescent="0.25">
      <c r="A29" s="5" t="s">
        <v>37</v>
      </c>
      <c r="B29" s="6" t="s">
        <v>38</v>
      </c>
      <c r="C29" s="6" t="s">
        <v>39</v>
      </c>
      <c r="D29" s="7">
        <v>45323</v>
      </c>
      <c r="E29" s="8">
        <v>60</v>
      </c>
      <c r="F29" s="9">
        <v>96.3</v>
      </c>
      <c r="G29" s="9">
        <v>98.4</v>
      </c>
      <c r="H29" s="10">
        <f t="shared" si="0"/>
        <v>0.97865853658536572</v>
      </c>
      <c r="I29" s="9">
        <f t="shared" si="1"/>
        <v>5778</v>
      </c>
      <c r="J29" s="9">
        <v>0.85</v>
      </c>
      <c r="K29" s="11">
        <f t="shared" si="2"/>
        <v>8.8265835929387335E-3</v>
      </c>
      <c r="L29" s="9">
        <f t="shared" si="3"/>
        <v>51</v>
      </c>
    </row>
    <row r="30" spans="1:12" x14ac:dyDescent="0.25">
      <c r="A30" s="5" t="s">
        <v>40</v>
      </c>
      <c r="B30" s="6" t="s">
        <v>41</v>
      </c>
      <c r="C30" s="6" t="s">
        <v>30</v>
      </c>
      <c r="D30" s="7">
        <v>45323</v>
      </c>
      <c r="E30" s="8">
        <v>70</v>
      </c>
      <c r="F30" s="9">
        <v>114.9</v>
      </c>
      <c r="G30" s="9">
        <v>109.85</v>
      </c>
      <c r="H30" s="10">
        <f t="shared" si="0"/>
        <v>1.0459717796995904</v>
      </c>
      <c r="I30" s="9">
        <f t="shared" si="1"/>
        <v>8043</v>
      </c>
      <c r="J30" s="9">
        <v>0.82</v>
      </c>
      <c r="K30" s="11">
        <f t="shared" si="2"/>
        <v>7.1366405570060911E-3</v>
      </c>
      <c r="L30" s="9">
        <f t="shared" si="3"/>
        <v>57.4</v>
      </c>
    </row>
    <row r="31" spans="1:12" x14ac:dyDescent="0.25">
      <c r="A31" s="5" t="s">
        <v>42</v>
      </c>
      <c r="B31" s="6" t="s">
        <v>43</v>
      </c>
      <c r="C31" s="6" t="s">
        <v>30</v>
      </c>
      <c r="D31" s="7">
        <v>45323</v>
      </c>
      <c r="E31" s="8">
        <v>85</v>
      </c>
      <c r="F31" s="9">
        <v>107.1</v>
      </c>
      <c r="G31" s="9">
        <v>103.2</v>
      </c>
      <c r="H31" s="10">
        <f t="shared" si="0"/>
        <v>1.0377906976744184</v>
      </c>
      <c r="I31" s="9">
        <f t="shared" si="1"/>
        <v>9103.5</v>
      </c>
      <c r="J31" s="9">
        <v>0.93</v>
      </c>
      <c r="K31" s="11">
        <f t="shared" si="2"/>
        <v>8.6834733893557427E-3</v>
      </c>
      <c r="L31" s="9">
        <f t="shared" si="3"/>
        <v>79.05</v>
      </c>
    </row>
    <row r="32" spans="1:12" x14ac:dyDescent="0.25">
      <c r="A32" s="5" t="s">
        <v>44</v>
      </c>
      <c r="B32" s="6" t="s">
        <v>45</v>
      </c>
      <c r="C32" s="6" t="s">
        <v>14</v>
      </c>
      <c r="D32" s="7">
        <v>45323</v>
      </c>
      <c r="E32" s="8">
        <v>65</v>
      </c>
      <c r="F32" s="9">
        <v>121.8</v>
      </c>
      <c r="G32" s="9">
        <v>123</v>
      </c>
      <c r="H32" s="10">
        <f t="shared" si="0"/>
        <v>0.99024390243902438</v>
      </c>
      <c r="I32" s="9">
        <f t="shared" si="1"/>
        <v>7917</v>
      </c>
      <c r="J32" s="9">
        <v>0.88</v>
      </c>
      <c r="K32" s="11">
        <f t="shared" si="2"/>
        <v>7.2249589490968802E-3</v>
      </c>
      <c r="L32" s="9">
        <f t="shared" si="3"/>
        <v>57.2</v>
      </c>
    </row>
    <row r="33" spans="1:12" x14ac:dyDescent="0.25">
      <c r="A33" s="5" t="s">
        <v>46</v>
      </c>
      <c r="B33" s="6" t="s">
        <v>47</v>
      </c>
      <c r="C33" s="6" t="s">
        <v>17</v>
      </c>
      <c r="D33" s="7">
        <v>45323</v>
      </c>
      <c r="E33" s="8">
        <v>600</v>
      </c>
      <c r="F33" s="9">
        <v>8.3000000000000007</v>
      </c>
      <c r="G33" s="9">
        <v>8.85</v>
      </c>
      <c r="H33" s="10">
        <f t="shared" si="0"/>
        <v>0.9378531073446329</v>
      </c>
      <c r="I33" s="9">
        <f t="shared" si="1"/>
        <v>4980</v>
      </c>
      <c r="J33" s="9">
        <v>0.08</v>
      </c>
      <c r="K33" s="11">
        <f t="shared" si="2"/>
        <v>9.638554216867469E-3</v>
      </c>
      <c r="L33" s="9">
        <f t="shared" si="3"/>
        <v>48</v>
      </c>
    </row>
    <row r="34" spans="1:12" x14ac:dyDescent="0.25">
      <c r="A34" s="5" t="s">
        <v>48</v>
      </c>
      <c r="B34" s="6" t="s">
        <v>49</v>
      </c>
      <c r="C34" s="6" t="s">
        <v>17</v>
      </c>
      <c r="D34" s="7">
        <v>45323</v>
      </c>
      <c r="E34" s="8">
        <v>550</v>
      </c>
      <c r="F34" s="9">
        <v>9.18</v>
      </c>
      <c r="G34" s="9">
        <v>9.1999999999999993</v>
      </c>
      <c r="H34" s="10">
        <f t="shared" si="0"/>
        <v>0.99782608695652175</v>
      </c>
      <c r="I34" s="9">
        <f t="shared" si="1"/>
        <v>5049</v>
      </c>
      <c r="J34" s="9">
        <v>0.09</v>
      </c>
      <c r="K34" s="11">
        <f t="shared" si="2"/>
        <v>9.8039215686274508E-3</v>
      </c>
      <c r="L34" s="9">
        <f t="shared" si="3"/>
        <v>49.5</v>
      </c>
    </row>
    <row r="35" spans="1:12" x14ac:dyDescent="0.25">
      <c r="A35" s="5" t="s">
        <v>50</v>
      </c>
      <c r="B35" s="6" t="s">
        <v>51</v>
      </c>
      <c r="C35" s="6" t="s">
        <v>23</v>
      </c>
      <c r="D35" s="7">
        <v>45323</v>
      </c>
      <c r="E35" s="8">
        <v>450</v>
      </c>
      <c r="F35" s="9">
        <v>9.8800000000000008</v>
      </c>
      <c r="G35" s="9">
        <v>9.75</v>
      </c>
      <c r="H35" s="10">
        <f t="shared" si="0"/>
        <v>1.0133333333333334</v>
      </c>
      <c r="I35" s="9">
        <f t="shared" si="1"/>
        <v>4446</v>
      </c>
      <c r="J35" s="9">
        <v>0.11</v>
      </c>
      <c r="K35" s="11">
        <f t="shared" si="2"/>
        <v>1.1133603238866396E-2</v>
      </c>
      <c r="L35" s="9">
        <f t="shared" si="3"/>
        <v>49.5</v>
      </c>
    </row>
    <row r="36" spans="1:12" x14ac:dyDescent="0.25">
      <c r="A36" s="5" t="s">
        <v>52</v>
      </c>
      <c r="B36" s="6" t="s">
        <v>53</v>
      </c>
      <c r="C36" s="6" t="s">
        <v>17</v>
      </c>
      <c r="D36" s="7">
        <v>45323</v>
      </c>
      <c r="E36" s="8">
        <v>95</v>
      </c>
      <c r="F36" s="9">
        <v>103.8</v>
      </c>
      <c r="G36" s="9">
        <v>102.15</v>
      </c>
      <c r="H36" s="10">
        <f t="shared" si="0"/>
        <v>1.0161527165932451</v>
      </c>
      <c r="I36" s="9">
        <f t="shared" si="1"/>
        <v>9861</v>
      </c>
      <c r="J36" s="9">
        <v>1.1000000000000001</v>
      </c>
      <c r="K36" s="11">
        <f t="shared" si="2"/>
        <v>1.0597302504816957E-2</v>
      </c>
      <c r="L36" s="9">
        <f t="shared" si="3"/>
        <v>104.50000000000001</v>
      </c>
    </row>
    <row r="37" spans="1:12" x14ac:dyDescent="0.25">
      <c r="A37" s="5" t="s">
        <v>54</v>
      </c>
      <c r="B37" s="6" t="s">
        <v>55</v>
      </c>
      <c r="C37" s="6" t="s">
        <v>36</v>
      </c>
      <c r="D37" s="7">
        <v>45323</v>
      </c>
      <c r="E37" s="8">
        <v>110</v>
      </c>
      <c r="F37" s="9">
        <v>72.8</v>
      </c>
      <c r="G37" s="9">
        <v>111</v>
      </c>
      <c r="H37" s="10">
        <f t="shared" si="0"/>
        <v>0.65585585585585582</v>
      </c>
      <c r="I37" s="9">
        <f t="shared" si="1"/>
        <v>8008</v>
      </c>
      <c r="J37" s="9">
        <v>0.5</v>
      </c>
      <c r="K37" s="11">
        <f t="shared" si="2"/>
        <v>6.868131868131868E-3</v>
      </c>
      <c r="L37" s="9">
        <f t="shared" si="3"/>
        <v>55</v>
      </c>
    </row>
    <row r="38" spans="1:12" x14ac:dyDescent="0.25">
      <c r="A38" s="5" t="s">
        <v>12</v>
      </c>
      <c r="B38" s="6" t="s">
        <v>13</v>
      </c>
      <c r="C38" s="6" t="s">
        <v>14</v>
      </c>
      <c r="D38" s="7">
        <v>45352</v>
      </c>
      <c r="E38" s="8">
        <v>80</v>
      </c>
      <c r="F38" s="9">
        <v>166</v>
      </c>
      <c r="G38" s="9">
        <v>157</v>
      </c>
      <c r="H38" s="10">
        <f t="shared" si="0"/>
        <v>1.0573248407643312</v>
      </c>
      <c r="I38" s="9">
        <f t="shared" si="1"/>
        <v>13280</v>
      </c>
      <c r="J38" s="9">
        <v>1.1000000000000001</v>
      </c>
      <c r="K38" s="11">
        <f t="shared" si="2"/>
        <v>6.6265060240963862E-3</v>
      </c>
      <c r="L38" s="9">
        <f t="shared" si="3"/>
        <v>88</v>
      </c>
    </row>
    <row r="39" spans="1:12" x14ac:dyDescent="0.25">
      <c r="A39" s="5" t="s">
        <v>15</v>
      </c>
      <c r="B39" s="6" t="s">
        <v>16</v>
      </c>
      <c r="C39" s="6" t="s">
        <v>17</v>
      </c>
      <c r="D39" s="7">
        <v>45352</v>
      </c>
      <c r="E39" s="8">
        <v>120</v>
      </c>
      <c r="F39" s="9">
        <v>95.5</v>
      </c>
      <c r="G39" s="9">
        <v>97.3</v>
      </c>
      <c r="H39" s="10">
        <f t="shared" si="0"/>
        <v>0.98150051387461468</v>
      </c>
      <c r="I39" s="9">
        <f t="shared" si="1"/>
        <v>11460</v>
      </c>
      <c r="J39" s="9">
        <v>0.98</v>
      </c>
      <c r="K39" s="11">
        <f t="shared" si="2"/>
        <v>1.0261780104712041E-2</v>
      </c>
      <c r="L39" s="9">
        <f t="shared" si="3"/>
        <v>117.6</v>
      </c>
    </row>
    <row r="40" spans="1:12" x14ac:dyDescent="0.25">
      <c r="A40" s="5" t="s">
        <v>18</v>
      </c>
      <c r="B40" s="6" t="s">
        <v>19</v>
      </c>
      <c r="C40" s="6" t="s">
        <v>20</v>
      </c>
      <c r="D40" s="7">
        <v>45352</v>
      </c>
      <c r="E40" s="8">
        <v>100</v>
      </c>
      <c r="F40" s="9">
        <v>109.5</v>
      </c>
      <c r="G40" s="9">
        <v>112.6</v>
      </c>
      <c r="H40" s="10">
        <f t="shared" si="0"/>
        <v>0.97246891651865008</v>
      </c>
      <c r="I40" s="9">
        <f t="shared" si="1"/>
        <v>10950</v>
      </c>
      <c r="J40" s="9">
        <v>0.92</v>
      </c>
      <c r="K40" s="11">
        <f t="shared" si="2"/>
        <v>8.4018264840182658E-3</v>
      </c>
      <c r="L40" s="9">
        <f t="shared" si="3"/>
        <v>92</v>
      </c>
    </row>
    <row r="41" spans="1:12" x14ac:dyDescent="0.25">
      <c r="A41" s="5" t="s">
        <v>21</v>
      </c>
      <c r="B41" s="6" t="s">
        <v>22</v>
      </c>
      <c r="C41" s="6" t="s">
        <v>23</v>
      </c>
      <c r="D41" s="7">
        <v>45352</v>
      </c>
      <c r="E41" s="8">
        <v>150</v>
      </c>
      <c r="F41" s="9">
        <v>104</v>
      </c>
      <c r="G41" s="9">
        <v>101.95</v>
      </c>
      <c r="H41" s="10">
        <f t="shared" si="0"/>
        <v>1.0201078960274643</v>
      </c>
      <c r="I41" s="9">
        <f t="shared" si="1"/>
        <v>15600</v>
      </c>
      <c r="J41" s="9">
        <v>1.06</v>
      </c>
      <c r="K41" s="11">
        <f t="shared" si="2"/>
        <v>1.0192307692307693E-2</v>
      </c>
      <c r="L41" s="9">
        <f t="shared" si="3"/>
        <v>159</v>
      </c>
    </row>
    <row r="42" spans="1:12" x14ac:dyDescent="0.25">
      <c r="A42" s="5" t="s">
        <v>24</v>
      </c>
      <c r="B42" s="6" t="s">
        <v>25</v>
      </c>
      <c r="C42" s="6" t="s">
        <v>14</v>
      </c>
      <c r="D42" s="7">
        <v>45352</v>
      </c>
      <c r="E42" s="8">
        <v>90</v>
      </c>
      <c r="F42" s="9">
        <v>102.8</v>
      </c>
      <c r="G42" s="9">
        <v>99.6</v>
      </c>
      <c r="H42" s="10">
        <f t="shared" si="0"/>
        <v>1.0321285140562249</v>
      </c>
      <c r="I42" s="9">
        <f t="shared" si="1"/>
        <v>9252</v>
      </c>
      <c r="J42" s="9">
        <v>0.78</v>
      </c>
      <c r="K42" s="11">
        <f t="shared" si="2"/>
        <v>7.5875486381322965E-3</v>
      </c>
      <c r="L42" s="9">
        <f t="shared" si="3"/>
        <v>70.2</v>
      </c>
    </row>
    <row r="43" spans="1:12" x14ac:dyDescent="0.25">
      <c r="A43" s="5" t="s">
        <v>26</v>
      </c>
      <c r="B43" s="6" t="s">
        <v>27</v>
      </c>
      <c r="C43" s="6" t="s">
        <v>20</v>
      </c>
      <c r="D43" s="7">
        <v>45352</v>
      </c>
      <c r="E43" s="8">
        <v>110</v>
      </c>
      <c r="F43" s="9">
        <v>119</v>
      </c>
      <c r="G43" s="9">
        <v>125.4</v>
      </c>
      <c r="H43" s="10">
        <f t="shared" si="0"/>
        <v>0.94896331738437001</v>
      </c>
      <c r="I43" s="9">
        <f t="shared" si="1"/>
        <v>13090</v>
      </c>
      <c r="J43" s="9">
        <v>1</v>
      </c>
      <c r="K43" s="11">
        <f t="shared" si="2"/>
        <v>8.4033613445378148E-3</v>
      </c>
      <c r="L43" s="9">
        <f t="shared" si="3"/>
        <v>110</v>
      </c>
    </row>
    <row r="44" spans="1:12" x14ac:dyDescent="0.25">
      <c r="A44" s="5" t="s">
        <v>28</v>
      </c>
      <c r="B44" s="6" t="s">
        <v>29</v>
      </c>
      <c r="C44" s="6" t="s">
        <v>30</v>
      </c>
      <c r="D44" s="7">
        <v>45352</v>
      </c>
      <c r="E44" s="8">
        <v>75</v>
      </c>
      <c r="F44" s="9">
        <v>128.19999999999999</v>
      </c>
      <c r="G44" s="9">
        <v>124.8</v>
      </c>
      <c r="H44" s="10">
        <f t="shared" si="0"/>
        <v>1.0272435897435896</v>
      </c>
      <c r="I44" s="9">
        <f t="shared" si="1"/>
        <v>9615</v>
      </c>
      <c r="J44" s="9">
        <v>0.9</v>
      </c>
      <c r="K44" s="11">
        <f t="shared" si="2"/>
        <v>7.0202808112324504E-3</v>
      </c>
      <c r="L44" s="9">
        <f t="shared" si="3"/>
        <v>67.5</v>
      </c>
    </row>
    <row r="45" spans="1:12" x14ac:dyDescent="0.25">
      <c r="A45" s="5" t="s">
        <v>31</v>
      </c>
      <c r="B45" s="6" t="s">
        <v>32</v>
      </c>
      <c r="C45" s="6" t="s">
        <v>33</v>
      </c>
      <c r="D45" s="7">
        <v>45352</v>
      </c>
      <c r="E45" s="8">
        <v>500</v>
      </c>
      <c r="F45" s="9">
        <v>10.35</v>
      </c>
      <c r="G45" s="9">
        <v>9.86</v>
      </c>
      <c r="H45" s="10">
        <f t="shared" si="0"/>
        <v>1.0496957403651115</v>
      </c>
      <c r="I45" s="9">
        <f t="shared" si="1"/>
        <v>5175</v>
      </c>
      <c r="J45" s="9">
        <v>0.1</v>
      </c>
      <c r="K45" s="11">
        <f t="shared" si="2"/>
        <v>9.6618357487922718E-3</v>
      </c>
      <c r="L45" s="9">
        <f t="shared" si="3"/>
        <v>50</v>
      </c>
    </row>
    <row r="46" spans="1:12" x14ac:dyDescent="0.25">
      <c r="A46" s="5" t="s">
        <v>34</v>
      </c>
      <c r="B46" s="6" t="s">
        <v>35</v>
      </c>
      <c r="C46" s="6" t="s">
        <v>36</v>
      </c>
      <c r="D46" s="7">
        <v>45352</v>
      </c>
      <c r="E46" s="8">
        <v>85</v>
      </c>
      <c r="F46" s="9">
        <v>89.2</v>
      </c>
      <c r="G46" s="9">
        <v>99.15</v>
      </c>
      <c r="H46" s="10">
        <f t="shared" si="0"/>
        <v>0.89964699949571358</v>
      </c>
      <c r="I46" s="9">
        <f t="shared" si="1"/>
        <v>7582</v>
      </c>
      <c r="J46" s="9">
        <v>0.7</v>
      </c>
      <c r="K46" s="11">
        <f t="shared" si="2"/>
        <v>7.8475336322869956E-3</v>
      </c>
      <c r="L46" s="9">
        <f t="shared" si="3"/>
        <v>59.499999999999993</v>
      </c>
    </row>
    <row r="47" spans="1:12" x14ac:dyDescent="0.25">
      <c r="A47" s="5" t="s">
        <v>37</v>
      </c>
      <c r="B47" s="6" t="s">
        <v>38</v>
      </c>
      <c r="C47" s="6" t="s">
        <v>39</v>
      </c>
      <c r="D47" s="7">
        <v>45352</v>
      </c>
      <c r="E47" s="8">
        <v>60</v>
      </c>
      <c r="F47" s="9">
        <v>96.5</v>
      </c>
      <c r="G47" s="9">
        <v>98.45</v>
      </c>
      <c r="H47" s="10">
        <f t="shared" si="0"/>
        <v>0.98019299136617566</v>
      </c>
      <c r="I47" s="9">
        <f t="shared" si="1"/>
        <v>5790</v>
      </c>
      <c r="J47" s="9">
        <v>0.85</v>
      </c>
      <c r="K47" s="11">
        <f t="shared" si="2"/>
        <v>8.8082901554404139E-3</v>
      </c>
      <c r="L47" s="9">
        <f t="shared" si="3"/>
        <v>51</v>
      </c>
    </row>
    <row r="48" spans="1:12" x14ac:dyDescent="0.25">
      <c r="A48" s="5" t="s">
        <v>40</v>
      </c>
      <c r="B48" s="6" t="s">
        <v>41</v>
      </c>
      <c r="C48" s="6" t="s">
        <v>30</v>
      </c>
      <c r="D48" s="7">
        <v>45352</v>
      </c>
      <c r="E48" s="8">
        <v>70</v>
      </c>
      <c r="F48" s="9">
        <v>115.2</v>
      </c>
      <c r="G48" s="9">
        <v>109.9</v>
      </c>
      <c r="H48" s="10">
        <f t="shared" si="0"/>
        <v>1.0482256596906279</v>
      </c>
      <c r="I48" s="9">
        <f t="shared" si="1"/>
        <v>8064</v>
      </c>
      <c r="J48" s="9">
        <v>0.83</v>
      </c>
      <c r="K48" s="11">
        <f t="shared" si="2"/>
        <v>7.2048611111111107E-3</v>
      </c>
      <c r="L48" s="9">
        <f t="shared" si="3"/>
        <v>58.099999999999994</v>
      </c>
    </row>
    <row r="49" spans="1:12" x14ac:dyDescent="0.25">
      <c r="A49" s="5" t="s">
        <v>42</v>
      </c>
      <c r="B49" s="6" t="s">
        <v>43</v>
      </c>
      <c r="C49" s="6" t="s">
        <v>30</v>
      </c>
      <c r="D49" s="7">
        <v>45352</v>
      </c>
      <c r="E49" s="8">
        <v>85</v>
      </c>
      <c r="F49" s="9">
        <v>107.5</v>
      </c>
      <c r="G49" s="9">
        <v>103.3</v>
      </c>
      <c r="H49" s="10">
        <f t="shared" si="0"/>
        <v>1.0406582768635044</v>
      </c>
      <c r="I49" s="9">
        <f t="shared" si="1"/>
        <v>9137.5</v>
      </c>
      <c r="J49" s="9">
        <v>0.93</v>
      </c>
      <c r="K49" s="11">
        <f t="shared" si="2"/>
        <v>8.6511627906976744E-3</v>
      </c>
      <c r="L49" s="9">
        <f t="shared" si="3"/>
        <v>79.05</v>
      </c>
    </row>
    <row r="50" spans="1:12" x14ac:dyDescent="0.25">
      <c r="A50" s="5" t="s">
        <v>44</v>
      </c>
      <c r="B50" s="6" t="s">
        <v>45</v>
      </c>
      <c r="C50" s="6" t="s">
        <v>14</v>
      </c>
      <c r="D50" s="7">
        <v>45352</v>
      </c>
      <c r="E50" s="8">
        <v>65</v>
      </c>
      <c r="F50" s="9">
        <v>122.1</v>
      </c>
      <c r="G50" s="9">
        <v>123.1</v>
      </c>
      <c r="H50" s="10">
        <f t="shared" si="0"/>
        <v>0.991876523151909</v>
      </c>
      <c r="I50" s="9">
        <f t="shared" si="1"/>
        <v>7936.5</v>
      </c>
      <c r="J50" s="9">
        <v>0.89</v>
      </c>
      <c r="K50" s="11">
        <f t="shared" si="2"/>
        <v>7.2891072891072897E-3</v>
      </c>
      <c r="L50" s="9">
        <f t="shared" si="3"/>
        <v>57.85</v>
      </c>
    </row>
    <row r="51" spans="1:12" x14ac:dyDescent="0.25">
      <c r="A51" s="5" t="s">
        <v>46</v>
      </c>
      <c r="B51" s="6" t="s">
        <v>47</v>
      </c>
      <c r="C51" s="6" t="s">
        <v>17</v>
      </c>
      <c r="D51" s="7">
        <v>45352</v>
      </c>
      <c r="E51" s="8">
        <v>600</v>
      </c>
      <c r="F51" s="9">
        <v>8.35</v>
      </c>
      <c r="G51" s="9">
        <v>8.86</v>
      </c>
      <c r="H51" s="10">
        <f t="shared" si="0"/>
        <v>0.9424379232505643</v>
      </c>
      <c r="I51" s="9">
        <f t="shared" si="1"/>
        <v>5010</v>
      </c>
      <c r="J51" s="9">
        <v>0.08</v>
      </c>
      <c r="K51" s="11">
        <f t="shared" si="2"/>
        <v>9.5808383233532933E-3</v>
      </c>
      <c r="L51" s="9">
        <f t="shared" si="3"/>
        <v>48</v>
      </c>
    </row>
    <row r="52" spans="1:12" x14ac:dyDescent="0.25">
      <c r="A52" s="5" t="s">
        <v>48</v>
      </c>
      <c r="B52" s="6" t="s">
        <v>49</v>
      </c>
      <c r="C52" s="6" t="s">
        <v>17</v>
      </c>
      <c r="D52" s="7">
        <v>45352</v>
      </c>
      <c r="E52" s="8">
        <v>550</v>
      </c>
      <c r="F52" s="9">
        <v>9.2200000000000006</v>
      </c>
      <c r="G52" s="9">
        <v>9.2200000000000006</v>
      </c>
      <c r="H52" s="10">
        <f t="shared" si="0"/>
        <v>1</v>
      </c>
      <c r="I52" s="9">
        <f t="shared" si="1"/>
        <v>5071</v>
      </c>
      <c r="J52" s="9">
        <v>0.09</v>
      </c>
      <c r="K52" s="11">
        <f t="shared" si="2"/>
        <v>9.7613882863340547E-3</v>
      </c>
      <c r="L52" s="9">
        <f t="shared" si="3"/>
        <v>49.5</v>
      </c>
    </row>
    <row r="53" spans="1:12" x14ac:dyDescent="0.25">
      <c r="A53" s="5" t="s">
        <v>50</v>
      </c>
      <c r="B53" s="6" t="s">
        <v>51</v>
      </c>
      <c r="C53" s="6" t="s">
        <v>23</v>
      </c>
      <c r="D53" s="7">
        <v>45352</v>
      </c>
      <c r="E53" s="8">
        <v>450</v>
      </c>
      <c r="F53" s="9">
        <v>9.92</v>
      </c>
      <c r="G53" s="9">
        <v>9.76</v>
      </c>
      <c r="H53" s="10">
        <f t="shared" si="0"/>
        <v>1.0163934426229508</v>
      </c>
      <c r="I53" s="9">
        <f t="shared" si="1"/>
        <v>4464</v>
      </c>
      <c r="J53" s="9">
        <v>0.11</v>
      </c>
      <c r="K53" s="11">
        <f t="shared" si="2"/>
        <v>1.1088709677419355E-2</v>
      </c>
      <c r="L53" s="9">
        <f t="shared" si="3"/>
        <v>49.5</v>
      </c>
    </row>
    <row r="54" spans="1:12" x14ac:dyDescent="0.25">
      <c r="A54" s="5" t="s">
        <v>52</v>
      </c>
      <c r="B54" s="6" t="s">
        <v>53</v>
      </c>
      <c r="C54" s="6" t="s">
        <v>17</v>
      </c>
      <c r="D54" s="7">
        <v>45352</v>
      </c>
      <c r="E54" s="8">
        <v>95</v>
      </c>
      <c r="F54" s="9">
        <v>104.1</v>
      </c>
      <c r="G54" s="9">
        <v>102.2</v>
      </c>
      <c r="H54" s="10">
        <f t="shared" si="0"/>
        <v>1.0185909980430528</v>
      </c>
      <c r="I54" s="9">
        <f t="shared" si="1"/>
        <v>9889.5</v>
      </c>
      <c r="J54" s="9">
        <v>1.1200000000000001</v>
      </c>
      <c r="K54" s="11">
        <f t="shared" si="2"/>
        <v>1.0758885686839579E-2</v>
      </c>
      <c r="L54" s="9">
        <f t="shared" si="3"/>
        <v>106.4</v>
      </c>
    </row>
    <row r="55" spans="1:12" x14ac:dyDescent="0.25">
      <c r="A55" s="5" t="s">
        <v>54</v>
      </c>
      <c r="B55" s="6" t="s">
        <v>55</v>
      </c>
      <c r="C55" s="6" t="s">
        <v>36</v>
      </c>
      <c r="D55" s="7">
        <v>45352</v>
      </c>
      <c r="E55" s="8">
        <v>110</v>
      </c>
      <c r="F55" s="9">
        <v>73.099999999999994</v>
      </c>
      <c r="G55" s="9">
        <v>111.1</v>
      </c>
      <c r="H55" s="10">
        <f t="shared" si="0"/>
        <v>0.65796579657965792</v>
      </c>
      <c r="I55" s="9">
        <f t="shared" si="1"/>
        <v>8040.9999999999991</v>
      </c>
      <c r="J55" s="9">
        <v>0.5</v>
      </c>
      <c r="K55" s="11">
        <f t="shared" si="2"/>
        <v>6.8399452804377573E-3</v>
      </c>
      <c r="L55" s="9">
        <f t="shared" si="3"/>
        <v>55</v>
      </c>
    </row>
    <row r="56" spans="1:12" x14ac:dyDescent="0.25">
      <c r="A56" s="5" t="s">
        <v>12</v>
      </c>
      <c r="B56" s="6" t="s">
        <v>13</v>
      </c>
      <c r="C56" s="6" t="s">
        <v>14</v>
      </c>
      <c r="D56" s="7">
        <v>45383</v>
      </c>
      <c r="E56" s="8">
        <v>80</v>
      </c>
      <c r="F56" s="9">
        <v>165.8</v>
      </c>
      <c r="G56" s="9">
        <v>157.1</v>
      </c>
      <c r="H56" s="10">
        <f t="shared" si="0"/>
        <v>1.0553787396562699</v>
      </c>
      <c r="I56" s="9">
        <f t="shared" si="1"/>
        <v>13264</v>
      </c>
      <c r="J56" s="9">
        <v>1.1000000000000001</v>
      </c>
      <c r="K56" s="11">
        <f t="shared" si="2"/>
        <v>6.6344993968636915E-3</v>
      </c>
      <c r="L56" s="9">
        <f t="shared" si="3"/>
        <v>88</v>
      </c>
    </row>
    <row r="57" spans="1:12" x14ac:dyDescent="0.25">
      <c r="A57" s="5" t="s">
        <v>15</v>
      </c>
      <c r="B57" s="6" t="s">
        <v>16</v>
      </c>
      <c r="C57" s="6" t="s">
        <v>17</v>
      </c>
      <c r="D57" s="7">
        <v>45383</v>
      </c>
      <c r="E57" s="8">
        <v>120</v>
      </c>
      <c r="F57" s="9">
        <v>95.2</v>
      </c>
      <c r="G57" s="9">
        <v>97.35</v>
      </c>
      <c r="H57" s="10">
        <f t="shared" si="0"/>
        <v>0.97791474062660511</v>
      </c>
      <c r="I57" s="9">
        <f t="shared" si="1"/>
        <v>11424</v>
      </c>
      <c r="J57" s="9">
        <v>0.97</v>
      </c>
      <c r="K57" s="11">
        <f t="shared" si="2"/>
        <v>1.0189075630252101E-2</v>
      </c>
      <c r="L57" s="9">
        <f t="shared" si="3"/>
        <v>116.39999999999999</v>
      </c>
    </row>
    <row r="58" spans="1:12" x14ac:dyDescent="0.25">
      <c r="A58" s="5" t="s">
        <v>18</v>
      </c>
      <c r="B58" s="6" t="s">
        <v>19</v>
      </c>
      <c r="C58" s="6" t="s">
        <v>20</v>
      </c>
      <c r="D58" s="7">
        <v>45383</v>
      </c>
      <c r="E58" s="8">
        <v>100</v>
      </c>
      <c r="F58" s="9">
        <v>109.8</v>
      </c>
      <c r="G58" s="9">
        <v>112.7</v>
      </c>
      <c r="H58" s="10">
        <f t="shared" si="0"/>
        <v>0.97426796805678784</v>
      </c>
      <c r="I58" s="9">
        <f t="shared" si="1"/>
        <v>10980</v>
      </c>
      <c r="J58" s="9">
        <v>0.92</v>
      </c>
      <c r="K58" s="11">
        <f t="shared" si="2"/>
        <v>8.378870673952642E-3</v>
      </c>
      <c r="L58" s="9">
        <f t="shared" si="3"/>
        <v>92</v>
      </c>
    </row>
    <row r="59" spans="1:12" x14ac:dyDescent="0.25">
      <c r="A59" s="5" t="s">
        <v>21</v>
      </c>
      <c r="B59" s="6" t="s">
        <v>22</v>
      </c>
      <c r="C59" s="6" t="s">
        <v>23</v>
      </c>
      <c r="D59" s="7">
        <v>45383</v>
      </c>
      <c r="E59" s="8">
        <v>150</v>
      </c>
      <c r="F59" s="9">
        <v>104.2</v>
      </c>
      <c r="G59" s="9">
        <v>102</v>
      </c>
      <c r="H59" s="10">
        <f t="shared" si="0"/>
        <v>1.0215686274509803</v>
      </c>
      <c r="I59" s="9">
        <f t="shared" si="1"/>
        <v>15630</v>
      </c>
      <c r="J59" s="9">
        <v>1.06</v>
      </c>
      <c r="K59" s="11">
        <f t="shared" si="2"/>
        <v>1.017274472168906E-2</v>
      </c>
      <c r="L59" s="9">
        <f t="shared" si="3"/>
        <v>159</v>
      </c>
    </row>
    <row r="60" spans="1:12" x14ac:dyDescent="0.25">
      <c r="A60" s="5" t="s">
        <v>24</v>
      </c>
      <c r="B60" s="6" t="s">
        <v>25</v>
      </c>
      <c r="C60" s="6" t="s">
        <v>14</v>
      </c>
      <c r="D60" s="7">
        <v>45383</v>
      </c>
      <c r="E60" s="8">
        <v>90</v>
      </c>
      <c r="F60" s="9">
        <v>102.5</v>
      </c>
      <c r="G60" s="9">
        <v>99.65</v>
      </c>
      <c r="H60" s="10">
        <f t="shared" si="0"/>
        <v>1.0286001003512293</v>
      </c>
      <c r="I60" s="9">
        <f t="shared" si="1"/>
        <v>9225</v>
      </c>
      <c r="J60" s="9">
        <v>0.78</v>
      </c>
      <c r="K60" s="11">
        <f t="shared" si="2"/>
        <v>7.6097560975609763E-3</v>
      </c>
      <c r="L60" s="9">
        <f t="shared" si="3"/>
        <v>70.2</v>
      </c>
    </row>
    <row r="61" spans="1:12" x14ac:dyDescent="0.25">
      <c r="A61" s="5" t="s">
        <v>26</v>
      </c>
      <c r="B61" s="6" t="s">
        <v>27</v>
      </c>
      <c r="C61" s="6" t="s">
        <v>20</v>
      </c>
      <c r="D61" s="7">
        <v>45383</v>
      </c>
      <c r="E61" s="8">
        <v>110</v>
      </c>
      <c r="F61" s="9">
        <v>119.3</v>
      </c>
      <c r="G61" s="9">
        <v>125.5</v>
      </c>
      <c r="H61" s="10">
        <f t="shared" si="0"/>
        <v>0.95059760956175299</v>
      </c>
      <c r="I61" s="9">
        <f t="shared" si="1"/>
        <v>13123</v>
      </c>
      <c r="J61" s="9">
        <v>1</v>
      </c>
      <c r="K61" s="11">
        <f t="shared" si="2"/>
        <v>8.3822296730930428E-3</v>
      </c>
      <c r="L61" s="9">
        <f t="shared" si="3"/>
        <v>110</v>
      </c>
    </row>
    <row r="62" spans="1:12" x14ac:dyDescent="0.25">
      <c r="A62" s="5" t="s">
        <v>28</v>
      </c>
      <c r="B62" s="6" t="s">
        <v>29</v>
      </c>
      <c r="C62" s="6" t="s">
        <v>30</v>
      </c>
      <c r="D62" s="7">
        <v>45383</v>
      </c>
      <c r="E62" s="8">
        <v>75</v>
      </c>
      <c r="F62" s="9">
        <v>128.5</v>
      </c>
      <c r="G62" s="9">
        <v>124.9</v>
      </c>
      <c r="H62" s="10">
        <f t="shared" si="0"/>
        <v>1.0288230584467573</v>
      </c>
      <c r="I62" s="9">
        <f t="shared" si="1"/>
        <v>9637.5</v>
      </c>
      <c r="J62" s="9">
        <v>0.9</v>
      </c>
      <c r="K62" s="11">
        <f t="shared" si="2"/>
        <v>7.0038910505836579E-3</v>
      </c>
      <c r="L62" s="9">
        <f t="shared" si="3"/>
        <v>67.5</v>
      </c>
    </row>
    <row r="63" spans="1:12" x14ac:dyDescent="0.25">
      <c r="A63" s="5" t="s">
        <v>31</v>
      </c>
      <c r="B63" s="6" t="s">
        <v>32</v>
      </c>
      <c r="C63" s="6" t="s">
        <v>33</v>
      </c>
      <c r="D63" s="7">
        <v>45383</v>
      </c>
      <c r="E63" s="8">
        <v>500</v>
      </c>
      <c r="F63" s="9">
        <v>10.32</v>
      </c>
      <c r="G63" s="9">
        <v>9.86</v>
      </c>
      <c r="H63" s="10">
        <f t="shared" si="0"/>
        <v>1.0466531440162272</v>
      </c>
      <c r="I63" s="9">
        <f t="shared" si="1"/>
        <v>5160</v>
      </c>
      <c r="J63" s="9">
        <v>0.1</v>
      </c>
      <c r="K63" s="11">
        <f t="shared" si="2"/>
        <v>9.6899224806201549E-3</v>
      </c>
      <c r="L63" s="9">
        <f t="shared" si="3"/>
        <v>50</v>
      </c>
    </row>
    <row r="64" spans="1:12" x14ac:dyDescent="0.25">
      <c r="A64" s="5" t="s">
        <v>34</v>
      </c>
      <c r="B64" s="6" t="s">
        <v>35</v>
      </c>
      <c r="C64" s="6" t="s">
        <v>36</v>
      </c>
      <c r="D64" s="7">
        <v>45383</v>
      </c>
      <c r="E64" s="8">
        <v>85</v>
      </c>
      <c r="F64" s="9">
        <v>89</v>
      </c>
      <c r="G64" s="9">
        <v>99.15</v>
      </c>
      <c r="H64" s="10">
        <f t="shared" si="0"/>
        <v>0.89762985375693394</v>
      </c>
      <c r="I64" s="9">
        <f t="shared" si="1"/>
        <v>7565</v>
      </c>
      <c r="J64" s="9">
        <v>0.7</v>
      </c>
      <c r="K64" s="11">
        <f t="shared" si="2"/>
        <v>7.8651685393258414E-3</v>
      </c>
      <c r="L64" s="9">
        <f t="shared" si="3"/>
        <v>59.499999999999993</v>
      </c>
    </row>
    <row r="65" spans="1:12" x14ac:dyDescent="0.25">
      <c r="A65" s="5" t="s">
        <v>37</v>
      </c>
      <c r="B65" s="6" t="s">
        <v>38</v>
      </c>
      <c r="C65" s="6" t="s">
        <v>39</v>
      </c>
      <c r="D65" s="7">
        <v>45383</v>
      </c>
      <c r="E65" s="8">
        <v>60</v>
      </c>
      <c r="F65" s="9">
        <v>96.4</v>
      </c>
      <c r="G65" s="9">
        <v>98.5</v>
      </c>
      <c r="H65" s="10">
        <f t="shared" si="0"/>
        <v>0.97868020304568537</v>
      </c>
      <c r="I65" s="9">
        <f t="shared" si="1"/>
        <v>5784</v>
      </c>
      <c r="J65" s="9">
        <v>0.85</v>
      </c>
      <c r="K65" s="11">
        <f t="shared" si="2"/>
        <v>8.8174273858921161E-3</v>
      </c>
      <c r="L65" s="9">
        <f t="shared" si="3"/>
        <v>51</v>
      </c>
    </row>
    <row r="66" spans="1:12" x14ac:dyDescent="0.25">
      <c r="A66" s="5" t="s">
        <v>40</v>
      </c>
      <c r="B66" s="6" t="s">
        <v>41</v>
      </c>
      <c r="C66" s="6" t="s">
        <v>30</v>
      </c>
      <c r="D66" s="7">
        <v>45383</v>
      </c>
      <c r="E66" s="8">
        <v>70</v>
      </c>
      <c r="F66" s="9">
        <v>115.5</v>
      </c>
      <c r="G66" s="9">
        <v>109.95</v>
      </c>
      <c r="H66" s="10">
        <f t="shared" si="0"/>
        <v>1.0504774897680764</v>
      </c>
      <c r="I66" s="9">
        <f t="shared" si="1"/>
        <v>8085</v>
      </c>
      <c r="J66" s="9">
        <v>0.83</v>
      </c>
      <c r="K66" s="11">
        <f t="shared" si="2"/>
        <v>7.1861471861471857E-3</v>
      </c>
      <c r="L66" s="9">
        <f t="shared" si="3"/>
        <v>58.099999999999994</v>
      </c>
    </row>
    <row r="67" spans="1:12" x14ac:dyDescent="0.25">
      <c r="A67" s="5" t="s">
        <v>42</v>
      </c>
      <c r="B67" s="6" t="s">
        <v>43</v>
      </c>
      <c r="C67" s="6" t="s">
        <v>30</v>
      </c>
      <c r="D67" s="7">
        <v>45383</v>
      </c>
      <c r="E67" s="8">
        <v>85</v>
      </c>
      <c r="F67" s="9">
        <v>107.8</v>
      </c>
      <c r="G67" s="9">
        <v>103.4</v>
      </c>
      <c r="H67" s="10">
        <f t="shared" si="0"/>
        <v>1.0425531914893615</v>
      </c>
      <c r="I67" s="9">
        <f t="shared" si="1"/>
        <v>9163</v>
      </c>
      <c r="J67" s="9">
        <v>0.93</v>
      </c>
      <c r="K67" s="11">
        <f t="shared" si="2"/>
        <v>8.6270871985157701E-3</v>
      </c>
      <c r="L67" s="9">
        <f t="shared" si="3"/>
        <v>79.05</v>
      </c>
    </row>
    <row r="68" spans="1:12" x14ac:dyDescent="0.25">
      <c r="A68" s="5" t="s">
        <v>44</v>
      </c>
      <c r="B68" s="6" t="s">
        <v>45</v>
      </c>
      <c r="C68" s="6" t="s">
        <v>14</v>
      </c>
      <c r="D68" s="7">
        <v>45383</v>
      </c>
      <c r="E68" s="8">
        <v>65</v>
      </c>
      <c r="F68" s="9">
        <v>122.4</v>
      </c>
      <c r="G68" s="9">
        <v>123.15</v>
      </c>
      <c r="H68" s="10">
        <f t="shared" si="0"/>
        <v>0.99390986601705233</v>
      </c>
      <c r="I68" s="9">
        <f t="shared" si="1"/>
        <v>7956</v>
      </c>
      <c r="J68" s="9">
        <v>0.89</v>
      </c>
      <c r="K68" s="11">
        <f t="shared" si="2"/>
        <v>7.2712418300653597E-3</v>
      </c>
      <c r="L68" s="9">
        <f t="shared" si="3"/>
        <v>57.85</v>
      </c>
    </row>
    <row r="69" spans="1:12" x14ac:dyDescent="0.25">
      <c r="A69" s="5" t="s">
        <v>46</v>
      </c>
      <c r="B69" s="6" t="s">
        <v>47</v>
      </c>
      <c r="C69" s="6" t="s">
        <v>17</v>
      </c>
      <c r="D69" s="7">
        <v>45383</v>
      </c>
      <c r="E69" s="8">
        <v>600</v>
      </c>
      <c r="F69" s="9">
        <v>8.32</v>
      </c>
      <c r="G69" s="9">
        <v>8.86</v>
      </c>
      <c r="H69" s="10">
        <f t="shared" si="0"/>
        <v>0.93905191873589178</v>
      </c>
      <c r="I69" s="9">
        <f t="shared" si="1"/>
        <v>4992</v>
      </c>
      <c r="J69" s="9">
        <v>0.08</v>
      </c>
      <c r="K69" s="11">
        <f t="shared" si="2"/>
        <v>9.6153846153846159E-3</v>
      </c>
      <c r="L69" s="9">
        <f t="shared" si="3"/>
        <v>48</v>
      </c>
    </row>
    <row r="70" spans="1:12" x14ac:dyDescent="0.25">
      <c r="A70" s="5" t="s">
        <v>48</v>
      </c>
      <c r="B70" s="6" t="s">
        <v>49</v>
      </c>
      <c r="C70" s="6" t="s">
        <v>17</v>
      </c>
      <c r="D70" s="7">
        <v>45383</v>
      </c>
      <c r="E70" s="8">
        <v>550</v>
      </c>
      <c r="F70" s="9">
        <v>9.1999999999999993</v>
      </c>
      <c r="G70" s="9">
        <v>9.23</v>
      </c>
      <c r="H70" s="10">
        <f t="shared" si="0"/>
        <v>0.99674972914409521</v>
      </c>
      <c r="I70" s="9">
        <f t="shared" si="1"/>
        <v>5060</v>
      </c>
      <c r="J70" s="9">
        <v>0.09</v>
      </c>
      <c r="K70" s="11">
        <f t="shared" si="2"/>
        <v>9.7826086956521747E-3</v>
      </c>
      <c r="L70" s="9">
        <f t="shared" si="3"/>
        <v>49.5</v>
      </c>
    </row>
    <row r="71" spans="1:12" x14ac:dyDescent="0.25">
      <c r="A71" s="5" t="s">
        <v>50</v>
      </c>
      <c r="B71" s="6" t="s">
        <v>51</v>
      </c>
      <c r="C71" s="6" t="s">
        <v>23</v>
      </c>
      <c r="D71" s="7">
        <v>45383</v>
      </c>
      <c r="E71" s="8">
        <v>450</v>
      </c>
      <c r="F71" s="9">
        <v>9.9</v>
      </c>
      <c r="G71" s="9">
        <v>9.77</v>
      </c>
      <c r="H71" s="10">
        <f t="shared" si="0"/>
        <v>1.0133060388945754</v>
      </c>
      <c r="I71" s="9">
        <f t="shared" si="1"/>
        <v>4455</v>
      </c>
      <c r="J71" s="9">
        <v>0.11</v>
      </c>
      <c r="K71" s="11">
        <f t="shared" si="2"/>
        <v>1.1111111111111112E-2</v>
      </c>
      <c r="L71" s="9">
        <f t="shared" si="3"/>
        <v>49.5</v>
      </c>
    </row>
    <row r="72" spans="1:12" x14ac:dyDescent="0.25">
      <c r="A72" s="5" t="s">
        <v>52</v>
      </c>
      <c r="B72" s="6" t="s">
        <v>53</v>
      </c>
      <c r="C72" s="6" t="s">
        <v>17</v>
      </c>
      <c r="D72" s="7">
        <v>45383</v>
      </c>
      <c r="E72" s="8">
        <v>95</v>
      </c>
      <c r="F72" s="9">
        <v>104.3</v>
      </c>
      <c r="G72" s="9">
        <v>102.25</v>
      </c>
      <c r="H72" s="10">
        <f t="shared" si="0"/>
        <v>1.0200488997555013</v>
      </c>
      <c r="I72" s="9">
        <f t="shared" si="1"/>
        <v>9908.5</v>
      </c>
      <c r="J72" s="9">
        <v>1.1200000000000001</v>
      </c>
      <c r="K72" s="11">
        <f t="shared" si="2"/>
        <v>1.0738255033557048E-2</v>
      </c>
      <c r="L72" s="9">
        <f t="shared" si="3"/>
        <v>106.4</v>
      </c>
    </row>
    <row r="73" spans="1:12" x14ac:dyDescent="0.25">
      <c r="A73" s="5" t="s">
        <v>54</v>
      </c>
      <c r="B73" s="6" t="s">
        <v>55</v>
      </c>
      <c r="C73" s="6" t="s">
        <v>36</v>
      </c>
      <c r="D73" s="7">
        <v>45383</v>
      </c>
      <c r="E73" s="8">
        <v>110</v>
      </c>
      <c r="F73" s="9">
        <v>72.900000000000006</v>
      </c>
      <c r="G73" s="9">
        <v>111.15</v>
      </c>
      <c r="H73" s="10">
        <f t="shared" si="0"/>
        <v>0.65587044534412953</v>
      </c>
      <c r="I73" s="9">
        <f t="shared" si="1"/>
        <v>8019.0000000000009</v>
      </c>
      <c r="J73" s="9">
        <v>0.5</v>
      </c>
      <c r="K73" s="11">
        <f t="shared" si="2"/>
        <v>6.8587105624142658E-3</v>
      </c>
      <c r="L73" s="9">
        <f t="shared" si="3"/>
        <v>55</v>
      </c>
    </row>
    <row r="74" spans="1:12" x14ac:dyDescent="0.25">
      <c r="A74" s="5" t="s">
        <v>12</v>
      </c>
      <c r="B74" s="6" t="s">
        <v>13</v>
      </c>
      <c r="C74" s="6" t="s">
        <v>14</v>
      </c>
      <c r="D74" s="7">
        <v>45413</v>
      </c>
      <c r="E74" s="8">
        <v>80</v>
      </c>
      <c r="F74" s="9">
        <v>166.5</v>
      </c>
      <c r="G74" s="9">
        <v>157.19999999999999</v>
      </c>
      <c r="H74" s="10">
        <f t="shared" si="0"/>
        <v>1.0591603053435115</v>
      </c>
      <c r="I74" s="9">
        <f t="shared" si="1"/>
        <v>13320</v>
      </c>
      <c r="J74" s="9">
        <v>1.1000000000000001</v>
      </c>
      <c r="K74" s="11">
        <f t="shared" si="2"/>
        <v>6.6066066066066071E-3</v>
      </c>
      <c r="L74" s="9">
        <f t="shared" si="3"/>
        <v>88</v>
      </c>
    </row>
    <row r="75" spans="1:12" x14ac:dyDescent="0.25">
      <c r="A75" s="5" t="s">
        <v>15</v>
      </c>
      <c r="B75" s="6" t="s">
        <v>16</v>
      </c>
      <c r="C75" s="6" t="s">
        <v>17</v>
      </c>
      <c r="D75" s="7">
        <v>45413</v>
      </c>
      <c r="E75" s="8">
        <v>120</v>
      </c>
      <c r="F75" s="9">
        <v>95.8</v>
      </c>
      <c r="G75" s="9">
        <v>97.4</v>
      </c>
      <c r="H75" s="10">
        <f t="shared" si="0"/>
        <v>0.98357289527720726</v>
      </c>
      <c r="I75" s="9">
        <f t="shared" si="1"/>
        <v>11496</v>
      </c>
      <c r="J75" s="9">
        <v>0.98</v>
      </c>
      <c r="K75" s="11">
        <f t="shared" si="2"/>
        <v>1.022964509394572E-2</v>
      </c>
      <c r="L75" s="9">
        <f t="shared" si="3"/>
        <v>117.6</v>
      </c>
    </row>
    <row r="76" spans="1:12" x14ac:dyDescent="0.25">
      <c r="A76" s="5" t="s">
        <v>18</v>
      </c>
      <c r="B76" s="6" t="s">
        <v>19</v>
      </c>
      <c r="C76" s="6" t="s">
        <v>20</v>
      </c>
      <c r="D76" s="7">
        <v>45413</v>
      </c>
      <c r="E76" s="8">
        <v>100</v>
      </c>
      <c r="F76" s="9">
        <v>110.2</v>
      </c>
      <c r="G76" s="9">
        <v>112.8</v>
      </c>
      <c r="H76" s="10">
        <f t="shared" si="0"/>
        <v>0.97695035460992907</v>
      </c>
      <c r="I76" s="9">
        <f t="shared" si="1"/>
        <v>11020</v>
      </c>
      <c r="J76" s="9">
        <v>0.92</v>
      </c>
      <c r="K76" s="11">
        <f t="shared" si="2"/>
        <v>8.3484573502722332E-3</v>
      </c>
      <c r="L76" s="9">
        <f t="shared" si="3"/>
        <v>92</v>
      </c>
    </row>
    <row r="77" spans="1:12" x14ac:dyDescent="0.25">
      <c r="A77" s="5" t="s">
        <v>21</v>
      </c>
      <c r="B77" s="6" t="s">
        <v>22</v>
      </c>
      <c r="C77" s="6" t="s">
        <v>23</v>
      </c>
      <c r="D77" s="7">
        <v>45413</v>
      </c>
      <c r="E77" s="8">
        <v>150</v>
      </c>
      <c r="F77" s="9">
        <v>104.5</v>
      </c>
      <c r="G77" s="9">
        <v>102.05</v>
      </c>
      <c r="H77" s="10">
        <f t="shared" si="0"/>
        <v>1.0240078392944636</v>
      </c>
      <c r="I77" s="9">
        <f t="shared" si="1"/>
        <v>15675</v>
      </c>
      <c r="J77" s="9">
        <v>1.06</v>
      </c>
      <c r="K77" s="11">
        <f t="shared" si="2"/>
        <v>1.014354066985646E-2</v>
      </c>
      <c r="L77" s="9">
        <f t="shared" si="3"/>
        <v>159</v>
      </c>
    </row>
    <row r="78" spans="1:12" x14ac:dyDescent="0.25">
      <c r="A78" s="5" t="s">
        <v>24</v>
      </c>
      <c r="B78" s="6" t="s">
        <v>25</v>
      </c>
      <c r="C78" s="6" t="s">
        <v>14</v>
      </c>
      <c r="D78" s="7">
        <v>45413</v>
      </c>
      <c r="E78" s="8">
        <v>90</v>
      </c>
      <c r="F78" s="9">
        <v>103.1</v>
      </c>
      <c r="G78" s="9">
        <v>99.7</v>
      </c>
      <c r="H78" s="10">
        <f t="shared" si="0"/>
        <v>1.0341023069207622</v>
      </c>
      <c r="I78" s="9">
        <f t="shared" si="1"/>
        <v>9279</v>
      </c>
      <c r="J78" s="9">
        <v>0.78</v>
      </c>
      <c r="K78" s="11">
        <f t="shared" si="2"/>
        <v>7.5654704170708053E-3</v>
      </c>
      <c r="L78" s="9">
        <f t="shared" si="3"/>
        <v>70.2</v>
      </c>
    </row>
    <row r="79" spans="1:12" x14ac:dyDescent="0.25">
      <c r="A79" s="5" t="s">
        <v>26</v>
      </c>
      <c r="B79" s="6" t="s">
        <v>27</v>
      </c>
      <c r="C79" s="6" t="s">
        <v>20</v>
      </c>
      <c r="D79" s="7">
        <v>45413</v>
      </c>
      <c r="E79" s="8">
        <v>110</v>
      </c>
      <c r="F79" s="9">
        <v>119.8</v>
      </c>
      <c r="G79" s="9">
        <v>125.6</v>
      </c>
      <c r="H79" s="10">
        <f t="shared" si="0"/>
        <v>0.95382165605095548</v>
      </c>
      <c r="I79" s="9">
        <f t="shared" si="1"/>
        <v>13178</v>
      </c>
      <c r="J79" s="9">
        <v>1</v>
      </c>
      <c r="K79" s="11">
        <f t="shared" si="2"/>
        <v>8.3472454090150246E-3</v>
      </c>
      <c r="L79" s="9">
        <f t="shared" si="3"/>
        <v>110</v>
      </c>
    </row>
    <row r="80" spans="1:12" x14ac:dyDescent="0.25">
      <c r="A80" s="5" t="s">
        <v>28</v>
      </c>
      <c r="B80" s="6" t="s">
        <v>29</v>
      </c>
      <c r="C80" s="6" t="s">
        <v>30</v>
      </c>
      <c r="D80" s="7">
        <v>45413</v>
      </c>
      <c r="E80" s="8">
        <v>75</v>
      </c>
      <c r="F80" s="9">
        <v>129</v>
      </c>
      <c r="G80" s="9">
        <v>125</v>
      </c>
      <c r="H80" s="10">
        <f t="shared" si="0"/>
        <v>1.032</v>
      </c>
      <c r="I80" s="9">
        <f t="shared" si="1"/>
        <v>9675</v>
      </c>
      <c r="J80" s="9">
        <v>0.9</v>
      </c>
      <c r="K80" s="11">
        <f t="shared" si="2"/>
        <v>6.9767441860465115E-3</v>
      </c>
      <c r="L80" s="9">
        <f t="shared" si="3"/>
        <v>67.5</v>
      </c>
    </row>
    <row r="81" spans="1:12" x14ac:dyDescent="0.25">
      <c r="A81" s="5" t="s">
        <v>31</v>
      </c>
      <c r="B81" s="6" t="s">
        <v>32</v>
      </c>
      <c r="C81" s="6" t="s">
        <v>33</v>
      </c>
      <c r="D81" s="7">
        <v>45413</v>
      </c>
      <c r="E81" s="8">
        <v>500</v>
      </c>
      <c r="F81" s="9">
        <v>10.4</v>
      </c>
      <c r="G81" s="9">
        <v>9.8699999999999992</v>
      </c>
      <c r="H81" s="10">
        <f t="shared" si="0"/>
        <v>1.0536980749746709</v>
      </c>
      <c r="I81" s="9">
        <f t="shared" si="1"/>
        <v>5200</v>
      </c>
      <c r="J81" s="9">
        <v>0.1</v>
      </c>
      <c r="K81" s="11">
        <f t="shared" si="2"/>
        <v>9.6153846153846159E-3</v>
      </c>
      <c r="L81" s="9">
        <f t="shared" si="3"/>
        <v>50</v>
      </c>
    </row>
    <row r="82" spans="1:12" x14ac:dyDescent="0.25">
      <c r="A82" s="5" t="s">
        <v>34</v>
      </c>
      <c r="B82" s="6" t="s">
        <v>35</v>
      </c>
      <c r="C82" s="6" t="s">
        <v>36</v>
      </c>
      <c r="D82" s="7">
        <v>45413</v>
      </c>
      <c r="E82" s="8">
        <v>85</v>
      </c>
      <c r="F82" s="9">
        <v>89.5</v>
      </c>
      <c r="G82" s="9">
        <v>99.2</v>
      </c>
      <c r="H82" s="10">
        <f t="shared" si="0"/>
        <v>0.90221774193548387</v>
      </c>
      <c r="I82" s="9">
        <f t="shared" si="1"/>
        <v>7607.5</v>
      </c>
      <c r="J82" s="9">
        <v>0.7</v>
      </c>
      <c r="K82" s="11">
        <f t="shared" si="2"/>
        <v>7.8212290502793283E-3</v>
      </c>
      <c r="L82" s="9">
        <f t="shared" si="3"/>
        <v>59.499999999999993</v>
      </c>
    </row>
    <row r="83" spans="1:12" x14ac:dyDescent="0.25">
      <c r="A83" s="5" t="s">
        <v>37</v>
      </c>
      <c r="B83" s="6" t="s">
        <v>38</v>
      </c>
      <c r="C83" s="6" t="s">
        <v>39</v>
      </c>
      <c r="D83" s="7">
        <v>45413</v>
      </c>
      <c r="E83" s="8">
        <v>60</v>
      </c>
      <c r="F83" s="9">
        <v>96.8</v>
      </c>
      <c r="G83" s="9">
        <v>98.55</v>
      </c>
      <c r="H83" s="10">
        <f t="shared" si="0"/>
        <v>0.98224251648909178</v>
      </c>
      <c r="I83" s="9">
        <f t="shared" si="1"/>
        <v>5808</v>
      </c>
      <c r="J83" s="9">
        <v>0.85</v>
      </c>
      <c r="K83" s="11">
        <f t="shared" si="2"/>
        <v>8.7809917355371903E-3</v>
      </c>
      <c r="L83" s="9">
        <f t="shared" si="3"/>
        <v>51</v>
      </c>
    </row>
    <row r="84" spans="1:12" x14ac:dyDescent="0.25">
      <c r="A84" s="5" t="s">
        <v>40</v>
      </c>
      <c r="B84" s="6" t="s">
        <v>41</v>
      </c>
      <c r="C84" s="6" t="s">
        <v>30</v>
      </c>
      <c r="D84" s="7">
        <v>45413</v>
      </c>
      <c r="E84" s="8">
        <v>70</v>
      </c>
      <c r="F84" s="9">
        <v>115.8</v>
      </c>
      <c r="G84" s="9">
        <v>110</v>
      </c>
      <c r="H84" s="10">
        <f t="shared" si="0"/>
        <v>1.0527272727272727</v>
      </c>
      <c r="I84" s="9">
        <f t="shared" si="1"/>
        <v>8106</v>
      </c>
      <c r="J84" s="9">
        <v>0.83</v>
      </c>
      <c r="K84" s="11">
        <f t="shared" si="2"/>
        <v>7.1675302245250427E-3</v>
      </c>
      <c r="L84" s="9">
        <f t="shared" si="3"/>
        <v>58.099999999999994</v>
      </c>
    </row>
    <row r="85" spans="1:12" x14ac:dyDescent="0.25">
      <c r="A85" s="5" t="s">
        <v>42</v>
      </c>
      <c r="B85" s="6" t="s">
        <v>43</v>
      </c>
      <c r="C85" s="6" t="s">
        <v>30</v>
      </c>
      <c r="D85" s="7">
        <v>45413</v>
      </c>
      <c r="E85" s="8">
        <v>85</v>
      </c>
      <c r="F85" s="9">
        <v>108.2</v>
      </c>
      <c r="G85" s="9">
        <v>103.5</v>
      </c>
      <c r="H85" s="10">
        <f t="shared" si="0"/>
        <v>1.0454106280193236</v>
      </c>
      <c r="I85" s="9">
        <f t="shared" si="1"/>
        <v>9197</v>
      </c>
      <c r="J85" s="9">
        <v>0.93</v>
      </c>
      <c r="K85" s="11">
        <f t="shared" si="2"/>
        <v>8.5951940850277266E-3</v>
      </c>
      <c r="L85" s="9">
        <f t="shared" si="3"/>
        <v>79.05</v>
      </c>
    </row>
    <row r="86" spans="1:12" x14ac:dyDescent="0.25">
      <c r="A86" s="5" t="s">
        <v>44</v>
      </c>
      <c r="B86" s="6" t="s">
        <v>45</v>
      </c>
      <c r="C86" s="6" t="s">
        <v>14</v>
      </c>
      <c r="D86" s="7">
        <v>45413</v>
      </c>
      <c r="E86" s="8">
        <v>65</v>
      </c>
      <c r="F86" s="9">
        <v>122.8</v>
      </c>
      <c r="G86" s="9">
        <v>123.2</v>
      </c>
      <c r="H86" s="10">
        <f t="shared" si="0"/>
        <v>0.99675324675324672</v>
      </c>
      <c r="I86" s="9">
        <f t="shared" si="1"/>
        <v>7982</v>
      </c>
      <c r="J86" s="9">
        <v>0.89</v>
      </c>
      <c r="K86" s="11">
        <f t="shared" si="2"/>
        <v>7.2475570032573293E-3</v>
      </c>
      <c r="L86" s="9">
        <f t="shared" si="3"/>
        <v>57.85</v>
      </c>
    </row>
    <row r="87" spans="1:12" x14ac:dyDescent="0.25">
      <c r="A87" s="5" t="s">
        <v>46</v>
      </c>
      <c r="B87" s="6" t="s">
        <v>47</v>
      </c>
      <c r="C87" s="6" t="s">
        <v>17</v>
      </c>
      <c r="D87" s="7">
        <v>45413</v>
      </c>
      <c r="E87" s="8">
        <v>600</v>
      </c>
      <c r="F87" s="9">
        <v>8.3800000000000008</v>
      </c>
      <c r="G87" s="9">
        <v>8.8699999999999992</v>
      </c>
      <c r="H87" s="10">
        <f t="shared" si="0"/>
        <v>0.94475760992108249</v>
      </c>
      <c r="I87" s="9">
        <f t="shared" si="1"/>
        <v>5028.0000000000009</v>
      </c>
      <c r="J87" s="9">
        <v>0.08</v>
      </c>
      <c r="K87" s="11">
        <f t="shared" si="2"/>
        <v>9.546539379474939E-3</v>
      </c>
      <c r="L87" s="9">
        <f t="shared" si="3"/>
        <v>48</v>
      </c>
    </row>
    <row r="88" spans="1:12" x14ac:dyDescent="0.25">
      <c r="A88" s="5" t="s">
        <v>48</v>
      </c>
      <c r="B88" s="6" t="s">
        <v>49</v>
      </c>
      <c r="C88" s="6" t="s">
        <v>17</v>
      </c>
      <c r="D88" s="7">
        <v>45413</v>
      </c>
      <c r="E88" s="8">
        <v>550</v>
      </c>
      <c r="F88" s="9">
        <v>9.25</v>
      </c>
      <c r="G88" s="9">
        <v>9.24</v>
      </c>
      <c r="H88" s="10">
        <f t="shared" si="0"/>
        <v>1.001082251082251</v>
      </c>
      <c r="I88" s="9">
        <f t="shared" si="1"/>
        <v>5087.5</v>
      </c>
      <c r="J88" s="9">
        <v>0.09</v>
      </c>
      <c r="K88" s="11">
        <f t="shared" si="2"/>
        <v>9.7297297297297292E-3</v>
      </c>
      <c r="L88" s="9">
        <f t="shared" si="3"/>
        <v>49.5</v>
      </c>
    </row>
    <row r="89" spans="1:12" x14ac:dyDescent="0.25">
      <c r="A89" s="5" t="s">
        <v>50</v>
      </c>
      <c r="B89" s="6" t="s">
        <v>51</v>
      </c>
      <c r="C89" s="6" t="s">
        <v>23</v>
      </c>
      <c r="D89" s="7">
        <v>45413</v>
      </c>
      <c r="E89" s="8">
        <v>450</v>
      </c>
      <c r="F89" s="9">
        <v>9.9499999999999993</v>
      </c>
      <c r="G89" s="9">
        <v>9.7799999999999994</v>
      </c>
      <c r="H89" s="10">
        <f t="shared" si="0"/>
        <v>1.0173824130879345</v>
      </c>
      <c r="I89" s="9">
        <f t="shared" si="1"/>
        <v>4477.5</v>
      </c>
      <c r="J89" s="9">
        <v>0.11</v>
      </c>
      <c r="K89" s="11">
        <f t="shared" si="2"/>
        <v>1.1055276381909548E-2</v>
      </c>
      <c r="L89" s="9">
        <f t="shared" si="3"/>
        <v>49.5</v>
      </c>
    </row>
    <row r="90" spans="1:12" x14ac:dyDescent="0.25">
      <c r="A90" s="5" t="s">
        <v>52</v>
      </c>
      <c r="B90" s="6" t="s">
        <v>53</v>
      </c>
      <c r="C90" s="6" t="s">
        <v>17</v>
      </c>
      <c r="D90" s="7">
        <v>45413</v>
      </c>
      <c r="E90" s="8">
        <v>95</v>
      </c>
      <c r="F90" s="9">
        <v>104.6</v>
      </c>
      <c r="G90" s="9">
        <v>102.3</v>
      </c>
      <c r="H90" s="10">
        <f t="shared" si="0"/>
        <v>1.0224828934506354</v>
      </c>
      <c r="I90" s="9">
        <f t="shared" si="1"/>
        <v>9937</v>
      </c>
      <c r="J90" s="9">
        <v>1.1200000000000001</v>
      </c>
      <c r="K90" s="11">
        <f t="shared" si="2"/>
        <v>1.0707456978967496E-2</v>
      </c>
      <c r="L90" s="9">
        <f t="shared" si="3"/>
        <v>106.4</v>
      </c>
    </row>
    <row r="91" spans="1:12" x14ac:dyDescent="0.25">
      <c r="A91" s="5" t="s">
        <v>54</v>
      </c>
      <c r="B91" s="6" t="s">
        <v>55</v>
      </c>
      <c r="C91" s="6" t="s">
        <v>36</v>
      </c>
      <c r="D91" s="7">
        <v>45413</v>
      </c>
      <c r="E91" s="8">
        <v>110</v>
      </c>
      <c r="F91" s="9">
        <v>73.400000000000006</v>
      </c>
      <c r="G91" s="9">
        <v>111.2</v>
      </c>
      <c r="H91" s="10">
        <f t="shared" si="0"/>
        <v>0.66007194244604317</v>
      </c>
      <c r="I91" s="9">
        <f t="shared" si="1"/>
        <v>8074.0000000000009</v>
      </c>
      <c r="J91" s="9">
        <v>0.5</v>
      </c>
      <c r="K91" s="11">
        <f t="shared" si="2"/>
        <v>6.8119891008174378E-3</v>
      </c>
      <c r="L91" s="9">
        <f t="shared" si="3"/>
        <v>55</v>
      </c>
    </row>
    <row r="92" spans="1:12" x14ac:dyDescent="0.25">
      <c r="A92" s="5" t="s">
        <v>12</v>
      </c>
      <c r="B92" s="6" t="s">
        <v>13</v>
      </c>
      <c r="C92" s="6" t="s">
        <v>14</v>
      </c>
      <c r="D92" s="7">
        <v>45444</v>
      </c>
      <c r="E92" s="8">
        <v>80</v>
      </c>
      <c r="F92" s="9">
        <v>167</v>
      </c>
      <c r="G92" s="9">
        <v>157.30000000000001</v>
      </c>
      <c r="H92" s="10">
        <f t="shared" si="0"/>
        <v>1.0616656071201525</v>
      </c>
      <c r="I92" s="9">
        <f t="shared" si="1"/>
        <v>13360</v>
      </c>
      <c r="J92" s="9">
        <v>1.1000000000000001</v>
      </c>
      <c r="K92" s="11">
        <f t="shared" si="2"/>
        <v>6.5868263473053898E-3</v>
      </c>
      <c r="L92" s="9">
        <f t="shared" si="3"/>
        <v>88</v>
      </c>
    </row>
    <row r="93" spans="1:12" x14ac:dyDescent="0.25">
      <c r="A93" s="5" t="s">
        <v>15</v>
      </c>
      <c r="B93" s="6" t="s">
        <v>16</v>
      </c>
      <c r="C93" s="6" t="s">
        <v>17</v>
      </c>
      <c r="D93" s="7">
        <v>45444</v>
      </c>
      <c r="E93" s="8">
        <v>120</v>
      </c>
      <c r="F93" s="9">
        <v>96.1</v>
      </c>
      <c r="G93" s="9">
        <v>97.45</v>
      </c>
      <c r="H93" s="10">
        <f t="shared" si="0"/>
        <v>0.9861467419189327</v>
      </c>
      <c r="I93" s="9">
        <f t="shared" si="1"/>
        <v>11532</v>
      </c>
      <c r="J93" s="9">
        <v>0.99</v>
      </c>
      <c r="K93" s="11">
        <f t="shared" si="2"/>
        <v>1.0301768990634756E-2</v>
      </c>
      <c r="L93" s="9">
        <f t="shared" si="3"/>
        <v>118.8</v>
      </c>
    </row>
    <row r="94" spans="1:12" x14ac:dyDescent="0.25">
      <c r="A94" s="5" t="s">
        <v>18</v>
      </c>
      <c r="B94" s="6" t="s">
        <v>19</v>
      </c>
      <c r="C94" s="6" t="s">
        <v>20</v>
      </c>
      <c r="D94" s="7">
        <v>45444</v>
      </c>
      <c r="E94" s="8">
        <v>100</v>
      </c>
      <c r="F94" s="9">
        <v>110.8</v>
      </c>
      <c r="G94" s="9">
        <v>112.9</v>
      </c>
      <c r="H94" s="10">
        <f t="shared" si="0"/>
        <v>0.98139946855624438</v>
      </c>
      <c r="I94" s="9">
        <f t="shared" si="1"/>
        <v>11080</v>
      </c>
      <c r="J94" s="9">
        <v>0.92</v>
      </c>
      <c r="K94" s="11">
        <f t="shared" si="2"/>
        <v>8.3032490974729242E-3</v>
      </c>
      <c r="L94" s="9">
        <f t="shared" si="3"/>
        <v>92</v>
      </c>
    </row>
    <row r="95" spans="1:12" x14ac:dyDescent="0.25">
      <c r="A95" s="5" t="s">
        <v>21</v>
      </c>
      <c r="B95" s="6" t="s">
        <v>22</v>
      </c>
      <c r="C95" s="6" t="s">
        <v>23</v>
      </c>
      <c r="D95" s="7">
        <v>45444</v>
      </c>
      <c r="E95" s="8">
        <v>150</v>
      </c>
      <c r="F95" s="9">
        <v>104.8</v>
      </c>
      <c r="G95" s="9">
        <v>102.1</v>
      </c>
      <c r="H95" s="10">
        <f t="shared" si="0"/>
        <v>1.0264446620959844</v>
      </c>
      <c r="I95" s="9">
        <f t="shared" si="1"/>
        <v>15720</v>
      </c>
      <c r="J95" s="9">
        <v>1.07</v>
      </c>
      <c r="K95" s="11">
        <f t="shared" si="2"/>
        <v>1.0209923664122138E-2</v>
      </c>
      <c r="L95" s="9">
        <f t="shared" si="3"/>
        <v>160.5</v>
      </c>
    </row>
    <row r="96" spans="1:12" x14ac:dyDescent="0.25">
      <c r="A96" s="5" t="s">
        <v>24</v>
      </c>
      <c r="B96" s="6" t="s">
        <v>25</v>
      </c>
      <c r="C96" s="6" t="s">
        <v>14</v>
      </c>
      <c r="D96" s="7">
        <v>45444</v>
      </c>
      <c r="E96" s="8">
        <v>90</v>
      </c>
      <c r="F96" s="9">
        <v>103.4</v>
      </c>
      <c r="G96" s="9">
        <v>99.75</v>
      </c>
      <c r="H96" s="10">
        <f t="shared" si="0"/>
        <v>1.0365914786967418</v>
      </c>
      <c r="I96" s="9">
        <f t="shared" si="1"/>
        <v>9306</v>
      </c>
      <c r="J96" s="9">
        <v>0.78</v>
      </c>
      <c r="K96" s="11">
        <f t="shared" si="2"/>
        <v>7.5435203094777565E-3</v>
      </c>
      <c r="L96" s="9">
        <f t="shared" si="3"/>
        <v>70.2</v>
      </c>
    </row>
    <row r="97" spans="1:12" x14ac:dyDescent="0.25">
      <c r="A97" s="5" t="s">
        <v>26</v>
      </c>
      <c r="B97" s="6" t="s">
        <v>27</v>
      </c>
      <c r="C97" s="6" t="s">
        <v>20</v>
      </c>
      <c r="D97" s="7">
        <v>45444</v>
      </c>
      <c r="E97" s="8">
        <v>110</v>
      </c>
      <c r="F97" s="9">
        <v>120.2</v>
      </c>
      <c r="G97" s="9">
        <v>125.7</v>
      </c>
      <c r="H97" s="10">
        <f t="shared" si="0"/>
        <v>0.95624502784407317</v>
      </c>
      <c r="I97" s="9">
        <f t="shared" si="1"/>
        <v>13222</v>
      </c>
      <c r="J97" s="9">
        <v>1</v>
      </c>
      <c r="K97" s="11">
        <f t="shared" si="2"/>
        <v>8.3194675540765387E-3</v>
      </c>
      <c r="L97" s="9">
        <f t="shared" si="3"/>
        <v>110</v>
      </c>
    </row>
    <row r="98" spans="1:12" x14ac:dyDescent="0.25">
      <c r="A98" s="5" t="s">
        <v>28</v>
      </c>
      <c r="B98" s="6" t="s">
        <v>29</v>
      </c>
      <c r="C98" s="6" t="s">
        <v>30</v>
      </c>
      <c r="D98" s="7">
        <v>45444</v>
      </c>
      <c r="E98" s="8">
        <v>75</v>
      </c>
      <c r="F98" s="9">
        <v>129.4</v>
      </c>
      <c r="G98" s="9">
        <v>125.1</v>
      </c>
      <c r="H98" s="10">
        <f t="shared" si="0"/>
        <v>1.0343725019984014</v>
      </c>
      <c r="I98" s="9">
        <f t="shared" si="1"/>
        <v>9705</v>
      </c>
      <c r="J98" s="9">
        <v>0.9</v>
      </c>
      <c r="K98" s="11">
        <f t="shared" si="2"/>
        <v>6.955177743431221E-3</v>
      </c>
      <c r="L98" s="9">
        <f t="shared" si="3"/>
        <v>67.5</v>
      </c>
    </row>
    <row r="99" spans="1:12" x14ac:dyDescent="0.25">
      <c r="A99" s="5" t="s">
        <v>31</v>
      </c>
      <c r="B99" s="6" t="s">
        <v>32</v>
      </c>
      <c r="C99" s="6" t="s">
        <v>33</v>
      </c>
      <c r="D99" s="7">
        <v>45444</v>
      </c>
      <c r="E99" s="8">
        <v>500</v>
      </c>
      <c r="F99" s="9">
        <v>10.45</v>
      </c>
      <c r="G99" s="9">
        <v>9.8800000000000008</v>
      </c>
      <c r="H99" s="10">
        <f t="shared" si="0"/>
        <v>1.0576923076923075</v>
      </c>
      <c r="I99" s="9">
        <f t="shared" si="1"/>
        <v>5225</v>
      </c>
      <c r="J99" s="9">
        <v>0.1</v>
      </c>
      <c r="K99" s="11">
        <f t="shared" si="2"/>
        <v>9.5693779904306234E-3</v>
      </c>
      <c r="L99" s="9">
        <f t="shared" si="3"/>
        <v>50</v>
      </c>
    </row>
    <row r="100" spans="1:12" x14ac:dyDescent="0.25">
      <c r="A100" s="5" t="s">
        <v>34</v>
      </c>
      <c r="B100" s="6" t="s">
        <v>35</v>
      </c>
      <c r="C100" s="6" t="s">
        <v>36</v>
      </c>
      <c r="D100" s="7">
        <v>45444</v>
      </c>
      <c r="E100" s="8">
        <v>85</v>
      </c>
      <c r="F100" s="9">
        <v>89.8</v>
      </c>
      <c r="G100" s="9">
        <v>99.25</v>
      </c>
      <c r="H100" s="10">
        <f t="shared" si="0"/>
        <v>0.90478589420654909</v>
      </c>
      <c r="I100" s="9">
        <f t="shared" si="1"/>
        <v>7633</v>
      </c>
      <c r="J100" s="9">
        <v>0.7</v>
      </c>
      <c r="K100" s="11">
        <f t="shared" si="2"/>
        <v>7.7951002227171487E-3</v>
      </c>
      <c r="L100" s="9">
        <f t="shared" si="3"/>
        <v>59.499999999999993</v>
      </c>
    </row>
    <row r="101" spans="1:12" x14ac:dyDescent="0.25">
      <c r="A101" s="5" t="s">
        <v>37</v>
      </c>
      <c r="B101" s="6" t="s">
        <v>38</v>
      </c>
      <c r="C101" s="6" t="s">
        <v>39</v>
      </c>
      <c r="D101" s="7">
        <v>45444</v>
      </c>
      <c r="E101" s="8">
        <v>60</v>
      </c>
      <c r="F101" s="9">
        <v>97</v>
      </c>
      <c r="G101" s="9">
        <v>98.6</v>
      </c>
      <c r="H101" s="10">
        <f t="shared" si="0"/>
        <v>0.98377281947261674</v>
      </c>
      <c r="I101" s="9">
        <f t="shared" si="1"/>
        <v>5820</v>
      </c>
      <c r="J101" s="9">
        <v>0.85</v>
      </c>
      <c r="K101" s="11">
        <f t="shared" si="2"/>
        <v>8.7628865979381444E-3</v>
      </c>
      <c r="L101" s="9">
        <f t="shared" si="3"/>
        <v>51</v>
      </c>
    </row>
    <row r="102" spans="1:12" x14ac:dyDescent="0.25">
      <c r="A102" s="5" t="s">
        <v>40</v>
      </c>
      <c r="B102" s="6" t="s">
        <v>41</v>
      </c>
      <c r="C102" s="6" t="s">
        <v>30</v>
      </c>
      <c r="D102" s="7">
        <v>45444</v>
      </c>
      <c r="E102" s="8">
        <v>70</v>
      </c>
      <c r="F102" s="9">
        <v>116.2</v>
      </c>
      <c r="G102" s="9">
        <v>110.1</v>
      </c>
      <c r="H102" s="10">
        <f t="shared" si="0"/>
        <v>1.0554041780199819</v>
      </c>
      <c r="I102" s="9">
        <f t="shared" si="1"/>
        <v>8134</v>
      </c>
      <c r="J102" s="9">
        <v>0.83</v>
      </c>
      <c r="K102" s="11">
        <f t="shared" si="2"/>
        <v>7.1428571428571426E-3</v>
      </c>
      <c r="L102" s="9">
        <f t="shared" si="3"/>
        <v>58.099999999999994</v>
      </c>
    </row>
    <row r="103" spans="1:12" x14ac:dyDescent="0.25">
      <c r="A103" s="5" t="s">
        <v>42</v>
      </c>
      <c r="B103" s="6" t="s">
        <v>43</v>
      </c>
      <c r="C103" s="6" t="s">
        <v>30</v>
      </c>
      <c r="D103" s="7">
        <v>45444</v>
      </c>
      <c r="E103" s="8">
        <v>85</v>
      </c>
      <c r="F103" s="9">
        <v>108.6</v>
      </c>
      <c r="G103" s="9">
        <v>103.6</v>
      </c>
      <c r="H103" s="10">
        <f t="shared" si="0"/>
        <v>1.0482625482625483</v>
      </c>
      <c r="I103" s="9">
        <f t="shared" si="1"/>
        <v>9231</v>
      </c>
      <c r="J103" s="9">
        <v>0.94</v>
      </c>
      <c r="K103" s="11">
        <f t="shared" si="2"/>
        <v>8.6556169429097603E-3</v>
      </c>
      <c r="L103" s="9">
        <f t="shared" si="3"/>
        <v>79.899999999999991</v>
      </c>
    </row>
    <row r="104" spans="1:12" x14ac:dyDescent="0.25">
      <c r="A104" s="5" t="s">
        <v>44</v>
      </c>
      <c r="B104" s="6" t="s">
        <v>45</v>
      </c>
      <c r="C104" s="6" t="s">
        <v>14</v>
      </c>
      <c r="D104" s="7">
        <v>45444</v>
      </c>
      <c r="E104" s="8">
        <v>65</v>
      </c>
      <c r="F104" s="9">
        <v>123.1</v>
      </c>
      <c r="G104" s="9">
        <v>123.25</v>
      </c>
      <c r="H104" s="10">
        <f t="shared" si="0"/>
        <v>0.99878296146044621</v>
      </c>
      <c r="I104" s="9">
        <f t="shared" si="1"/>
        <v>8001.5</v>
      </c>
      <c r="J104" s="9">
        <v>0.89</v>
      </c>
      <c r="K104" s="11">
        <f t="shared" si="2"/>
        <v>7.2298943948009755E-3</v>
      </c>
      <c r="L104" s="9">
        <f t="shared" si="3"/>
        <v>57.85</v>
      </c>
    </row>
    <row r="105" spans="1:12" x14ac:dyDescent="0.25">
      <c r="A105" s="5" t="s">
        <v>46</v>
      </c>
      <c r="B105" s="6" t="s">
        <v>47</v>
      </c>
      <c r="C105" s="6" t="s">
        <v>17</v>
      </c>
      <c r="D105" s="7">
        <v>45444</v>
      </c>
      <c r="E105" s="8">
        <v>600</v>
      </c>
      <c r="F105" s="9">
        <v>8.4</v>
      </c>
      <c r="G105" s="9">
        <v>8.8800000000000008</v>
      </c>
      <c r="H105" s="10">
        <f t="shared" si="0"/>
        <v>0.94594594594594594</v>
      </c>
      <c r="I105" s="9">
        <f t="shared" si="1"/>
        <v>5040</v>
      </c>
      <c r="J105" s="9">
        <v>0.08</v>
      </c>
      <c r="K105" s="11">
        <f t="shared" si="2"/>
        <v>9.5238095238095229E-3</v>
      </c>
      <c r="L105" s="9">
        <f t="shared" si="3"/>
        <v>48</v>
      </c>
    </row>
    <row r="106" spans="1:12" x14ac:dyDescent="0.25">
      <c r="A106" s="5" t="s">
        <v>48</v>
      </c>
      <c r="B106" s="6" t="s">
        <v>49</v>
      </c>
      <c r="C106" s="6" t="s">
        <v>17</v>
      </c>
      <c r="D106" s="7">
        <v>45444</v>
      </c>
      <c r="E106" s="8">
        <v>550</v>
      </c>
      <c r="F106" s="9">
        <v>9.2799999999999994</v>
      </c>
      <c r="G106" s="9">
        <v>9.25</v>
      </c>
      <c r="H106" s="10">
        <f t="shared" si="0"/>
        <v>1.0032432432432432</v>
      </c>
      <c r="I106" s="9">
        <f t="shared" si="1"/>
        <v>5104</v>
      </c>
      <c r="J106" s="9">
        <v>0.09</v>
      </c>
      <c r="K106" s="11">
        <f t="shared" si="2"/>
        <v>9.6982758620689658E-3</v>
      </c>
      <c r="L106" s="9">
        <f t="shared" si="3"/>
        <v>49.5</v>
      </c>
    </row>
    <row r="107" spans="1:12" x14ac:dyDescent="0.25">
      <c r="A107" s="5" t="s">
        <v>50</v>
      </c>
      <c r="B107" s="6" t="s">
        <v>51</v>
      </c>
      <c r="C107" s="6" t="s">
        <v>23</v>
      </c>
      <c r="D107" s="7">
        <v>45444</v>
      </c>
      <c r="E107" s="8">
        <v>450</v>
      </c>
      <c r="F107" s="9">
        <v>9.98</v>
      </c>
      <c r="G107" s="9">
        <v>9.7899999999999991</v>
      </c>
      <c r="H107" s="10">
        <f t="shared" si="0"/>
        <v>1.0194075587334015</v>
      </c>
      <c r="I107" s="9">
        <f t="shared" si="1"/>
        <v>4491</v>
      </c>
      <c r="J107" s="9">
        <v>0.11</v>
      </c>
      <c r="K107" s="11">
        <f t="shared" si="2"/>
        <v>1.1022044088176352E-2</v>
      </c>
      <c r="L107" s="9">
        <f t="shared" si="3"/>
        <v>49.5</v>
      </c>
    </row>
    <row r="108" spans="1:12" x14ac:dyDescent="0.25">
      <c r="A108" s="5" t="s">
        <v>52</v>
      </c>
      <c r="B108" s="6" t="s">
        <v>53</v>
      </c>
      <c r="C108" s="6" t="s">
        <v>17</v>
      </c>
      <c r="D108" s="7">
        <v>45444</v>
      </c>
      <c r="E108" s="8">
        <v>95</v>
      </c>
      <c r="F108" s="9">
        <v>104.9</v>
      </c>
      <c r="G108" s="9">
        <v>102.35</v>
      </c>
      <c r="H108" s="10">
        <f t="shared" si="0"/>
        <v>1.0249145090376162</v>
      </c>
      <c r="I108" s="9">
        <f t="shared" si="1"/>
        <v>9965.5</v>
      </c>
      <c r="J108" s="9">
        <v>1.1299999999999999</v>
      </c>
      <c r="K108" s="11">
        <f t="shared" si="2"/>
        <v>1.07721639656816E-2</v>
      </c>
      <c r="L108" s="9">
        <f t="shared" si="3"/>
        <v>107.35</v>
      </c>
    </row>
    <row r="109" spans="1:12" x14ac:dyDescent="0.25">
      <c r="A109" s="5" t="s">
        <v>54</v>
      </c>
      <c r="B109" s="6" t="s">
        <v>55</v>
      </c>
      <c r="C109" s="6" t="s">
        <v>36</v>
      </c>
      <c r="D109" s="7">
        <v>45444</v>
      </c>
      <c r="E109" s="8">
        <v>110</v>
      </c>
      <c r="F109" s="9">
        <v>73.7</v>
      </c>
      <c r="G109" s="9">
        <v>111.25</v>
      </c>
      <c r="H109" s="10">
        <f t="shared" si="0"/>
        <v>0.66247191011235962</v>
      </c>
      <c r="I109" s="9">
        <f t="shared" si="1"/>
        <v>8107</v>
      </c>
      <c r="J109" s="9">
        <v>0.5</v>
      </c>
      <c r="K109" s="11">
        <f t="shared" si="2"/>
        <v>6.7842605156037987E-3</v>
      </c>
      <c r="L109" s="9">
        <f t="shared" si="3"/>
        <v>55</v>
      </c>
    </row>
    <row r="110" spans="1:12" x14ac:dyDescent="0.25">
      <c r="A110" s="5" t="s">
        <v>12</v>
      </c>
      <c r="B110" s="6" t="s">
        <v>13</v>
      </c>
      <c r="C110" s="6" t="s">
        <v>14</v>
      </c>
      <c r="D110" s="7">
        <v>45474</v>
      </c>
      <c r="E110" s="8">
        <v>80</v>
      </c>
      <c r="F110" s="9">
        <v>167.4</v>
      </c>
      <c r="G110" s="9">
        <v>157.4</v>
      </c>
      <c r="H110" s="10">
        <f t="shared" si="0"/>
        <v>1.0635324015247776</v>
      </c>
      <c r="I110" s="9">
        <f t="shared" si="1"/>
        <v>13392</v>
      </c>
      <c r="J110" s="9">
        <v>1.1000000000000001</v>
      </c>
      <c r="K110" s="11">
        <f t="shared" si="2"/>
        <v>6.5710872162485067E-3</v>
      </c>
      <c r="L110" s="9">
        <f t="shared" si="3"/>
        <v>88</v>
      </c>
    </row>
    <row r="111" spans="1:12" x14ac:dyDescent="0.25">
      <c r="A111" s="5" t="s">
        <v>15</v>
      </c>
      <c r="B111" s="6" t="s">
        <v>16</v>
      </c>
      <c r="C111" s="6" t="s">
        <v>17</v>
      </c>
      <c r="D111" s="7">
        <v>45474</v>
      </c>
      <c r="E111" s="8">
        <v>120</v>
      </c>
      <c r="F111" s="9">
        <v>96.4</v>
      </c>
      <c r="G111" s="9">
        <v>97.5</v>
      </c>
      <c r="H111" s="10">
        <f t="shared" si="0"/>
        <v>0.98871794871794882</v>
      </c>
      <c r="I111" s="9">
        <f t="shared" si="1"/>
        <v>11568</v>
      </c>
      <c r="J111" s="9">
        <v>0.99</v>
      </c>
      <c r="K111" s="11">
        <f t="shared" si="2"/>
        <v>1.0269709543568465E-2</v>
      </c>
      <c r="L111" s="9">
        <f t="shared" si="3"/>
        <v>118.8</v>
      </c>
    </row>
    <row r="112" spans="1:12" x14ac:dyDescent="0.25">
      <c r="A112" s="5" t="s">
        <v>18</v>
      </c>
      <c r="B112" s="6" t="s">
        <v>19</v>
      </c>
      <c r="C112" s="6" t="s">
        <v>20</v>
      </c>
      <c r="D112" s="7">
        <v>45474</v>
      </c>
      <c r="E112" s="8">
        <v>100</v>
      </c>
      <c r="F112" s="9">
        <v>111.2</v>
      </c>
      <c r="G112" s="9">
        <v>113</v>
      </c>
      <c r="H112" s="10">
        <f t="shared" si="0"/>
        <v>0.98407079646017703</v>
      </c>
      <c r="I112" s="9">
        <f t="shared" si="1"/>
        <v>11120</v>
      </c>
      <c r="J112" s="9">
        <v>0.92</v>
      </c>
      <c r="K112" s="11">
        <f t="shared" si="2"/>
        <v>8.2733812949640287E-3</v>
      </c>
      <c r="L112" s="9">
        <f t="shared" si="3"/>
        <v>92</v>
      </c>
    </row>
    <row r="113" spans="1:12" x14ac:dyDescent="0.25">
      <c r="A113" s="5" t="s">
        <v>21</v>
      </c>
      <c r="B113" s="6" t="s">
        <v>22</v>
      </c>
      <c r="C113" s="6" t="s">
        <v>23</v>
      </c>
      <c r="D113" s="7">
        <v>45474</v>
      </c>
      <c r="E113" s="8">
        <v>150</v>
      </c>
      <c r="F113" s="9">
        <v>105.1</v>
      </c>
      <c r="G113" s="9">
        <v>102.15</v>
      </c>
      <c r="H113" s="10">
        <f t="shared" si="0"/>
        <v>1.0288790993636807</v>
      </c>
      <c r="I113" s="9">
        <f t="shared" si="1"/>
        <v>15765</v>
      </c>
      <c r="J113" s="9">
        <v>1.07</v>
      </c>
      <c r="K113" s="11">
        <f t="shared" si="2"/>
        <v>1.0180780209324454E-2</v>
      </c>
      <c r="L113" s="9">
        <f t="shared" si="3"/>
        <v>160.5</v>
      </c>
    </row>
    <row r="114" spans="1:12" x14ac:dyDescent="0.25">
      <c r="A114" s="5" t="s">
        <v>24</v>
      </c>
      <c r="B114" s="6" t="s">
        <v>25</v>
      </c>
      <c r="C114" s="6" t="s">
        <v>14</v>
      </c>
      <c r="D114" s="7">
        <v>45474</v>
      </c>
      <c r="E114" s="8">
        <v>90</v>
      </c>
      <c r="F114" s="9">
        <v>103.7</v>
      </c>
      <c r="G114" s="9">
        <v>99.8</v>
      </c>
      <c r="H114" s="10">
        <f t="shared" si="0"/>
        <v>1.0390781563126252</v>
      </c>
      <c r="I114" s="9">
        <f t="shared" si="1"/>
        <v>9333</v>
      </c>
      <c r="J114" s="9">
        <v>0.78</v>
      </c>
      <c r="K114" s="11">
        <f t="shared" si="2"/>
        <v>7.5216972034715529E-3</v>
      </c>
      <c r="L114" s="9">
        <f t="shared" si="3"/>
        <v>70.2</v>
      </c>
    </row>
    <row r="115" spans="1:12" x14ac:dyDescent="0.25">
      <c r="A115" s="5" t="s">
        <v>26</v>
      </c>
      <c r="B115" s="6" t="s">
        <v>27</v>
      </c>
      <c r="C115" s="6" t="s">
        <v>20</v>
      </c>
      <c r="D115" s="7">
        <v>45474</v>
      </c>
      <c r="E115" s="8">
        <v>110</v>
      </c>
      <c r="F115" s="9">
        <v>120.6</v>
      </c>
      <c r="G115" s="9">
        <v>125.8</v>
      </c>
      <c r="H115" s="10">
        <f t="shared" si="0"/>
        <v>0.95866454689984104</v>
      </c>
      <c r="I115" s="9">
        <f t="shared" si="1"/>
        <v>13266</v>
      </c>
      <c r="J115" s="9">
        <v>1</v>
      </c>
      <c r="K115" s="11">
        <f t="shared" si="2"/>
        <v>8.291873963515755E-3</v>
      </c>
      <c r="L115" s="9">
        <f t="shared" si="3"/>
        <v>110</v>
      </c>
    </row>
    <row r="116" spans="1:12" x14ac:dyDescent="0.25">
      <c r="A116" s="5" t="s">
        <v>28</v>
      </c>
      <c r="B116" s="6" t="s">
        <v>29</v>
      </c>
      <c r="C116" s="6" t="s">
        <v>30</v>
      </c>
      <c r="D116" s="7">
        <v>45474</v>
      </c>
      <c r="E116" s="8">
        <v>75</v>
      </c>
      <c r="F116" s="9">
        <v>129.80000000000001</v>
      </c>
      <c r="G116" s="9">
        <v>125.2</v>
      </c>
      <c r="H116" s="10">
        <f t="shared" si="0"/>
        <v>1.0367412140575081</v>
      </c>
      <c r="I116" s="9">
        <f t="shared" si="1"/>
        <v>9735</v>
      </c>
      <c r="J116" s="9">
        <v>0.9</v>
      </c>
      <c r="K116" s="11">
        <f t="shared" si="2"/>
        <v>6.9337442218798144E-3</v>
      </c>
      <c r="L116" s="9">
        <f t="shared" si="3"/>
        <v>67.5</v>
      </c>
    </row>
    <row r="117" spans="1:12" x14ac:dyDescent="0.25">
      <c r="A117" s="5" t="s">
        <v>31</v>
      </c>
      <c r="B117" s="6" t="s">
        <v>32</v>
      </c>
      <c r="C117" s="6" t="s">
        <v>33</v>
      </c>
      <c r="D117" s="7">
        <v>45474</v>
      </c>
      <c r="E117" s="8">
        <v>500</v>
      </c>
      <c r="F117" s="9">
        <v>10.48</v>
      </c>
      <c r="G117" s="9">
        <v>9.89</v>
      </c>
      <c r="H117" s="10">
        <f t="shared" si="0"/>
        <v>1.0596562184024267</v>
      </c>
      <c r="I117" s="9">
        <f t="shared" si="1"/>
        <v>5240</v>
      </c>
      <c r="J117" s="9">
        <v>0.1</v>
      </c>
      <c r="K117" s="11">
        <f t="shared" si="2"/>
        <v>9.5419847328244278E-3</v>
      </c>
      <c r="L117" s="9">
        <f t="shared" si="3"/>
        <v>50</v>
      </c>
    </row>
    <row r="118" spans="1:12" x14ac:dyDescent="0.25">
      <c r="A118" s="5" t="s">
        <v>34</v>
      </c>
      <c r="B118" s="6" t="s">
        <v>35</v>
      </c>
      <c r="C118" s="6" t="s">
        <v>36</v>
      </c>
      <c r="D118" s="7">
        <v>45474</v>
      </c>
      <c r="E118" s="8">
        <v>85</v>
      </c>
      <c r="F118" s="9">
        <v>90.1</v>
      </c>
      <c r="G118" s="9">
        <v>99.3</v>
      </c>
      <c r="H118" s="10">
        <f t="shared" si="0"/>
        <v>0.90735146022155078</v>
      </c>
      <c r="I118" s="9">
        <f t="shared" si="1"/>
        <v>7658.4999999999991</v>
      </c>
      <c r="J118" s="9">
        <v>0.7</v>
      </c>
      <c r="K118" s="11">
        <f t="shared" si="2"/>
        <v>7.7691453940066596E-3</v>
      </c>
      <c r="L118" s="9">
        <f t="shared" si="3"/>
        <v>59.499999999999993</v>
      </c>
    </row>
    <row r="119" spans="1:12" x14ac:dyDescent="0.25">
      <c r="A119" s="5" t="s">
        <v>37</v>
      </c>
      <c r="B119" s="6" t="s">
        <v>38</v>
      </c>
      <c r="C119" s="6" t="s">
        <v>39</v>
      </c>
      <c r="D119" s="7">
        <v>45474</v>
      </c>
      <c r="E119" s="8">
        <v>60</v>
      </c>
      <c r="F119" s="9">
        <v>97.2</v>
      </c>
      <c r="G119" s="9">
        <v>98.65</v>
      </c>
      <c r="H119" s="10">
        <f t="shared" si="0"/>
        <v>0.9853015712113532</v>
      </c>
      <c r="I119" s="9">
        <f t="shared" si="1"/>
        <v>5832</v>
      </c>
      <c r="J119" s="9">
        <v>0.85</v>
      </c>
      <c r="K119" s="11">
        <f t="shared" si="2"/>
        <v>8.7448559670781894E-3</v>
      </c>
      <c r="L119" s="9">
        <f t="shared" si="3"/>
        <v>51</v>
      </c>
    </row>
    <row r="120" spans="1:12" x14ac:dyDescent="0.25">
      <c r="A120" s="5" t="s">
        <v>40</v>
      </c>
      <c r="B120" s="6" t="s">
        <v>41</v>
      </c>
      <c r="C120" s="6" t="s">
        <v>30</v>
      </c>
      <c r="D120" s="7">
        <v>45474</v>
      </c>
      <c r="E120" s="8">
        <v>70</v>
      </c>
      <c r="F120" s="9">
        <v>116.5</v>
      </c>
      <c r="G120" s="9">
        <v>110.15</v>
      </c>
      <c r="H120" s="10">
        <f t="shared" si="0"/>
        <v>1.0576486609169313</v>
      </c>
      <c r="I120" s="9">
        <f t="shared" si="1"/>
        <v>8155</v>
      </c>
      <c r="J120" s="9">
        <v>0.83</v>
      </c>
      <c r="K120" s="11">
        <f t="shared" si="2"/>
        <v>7.1244635193133043E-3</v>
      </c>
      <c r="L120" s="9">
        <f t="shared" si="3"/>
        <v>58.099999999999994</v>
      </c>
    </row>
    <row r="121" spans="1:12" x14ac:dyDescent="0.25">
      <c r="A121" s="5" t="s">
        <v>42</v>
      </c>
      <c r="B121" s="6" t="s">
        <v>43</v>
      </c>
      <c r="C121" s="6" t="s">
        <v>30</v>
      </c>
      <c r="D121" s="7">
        <v>45474</v>
      </c>
      <c r="E121" s="8">
        <v>85</v>
      </c>
      <c r="F121" s="9">
        <v>108.9</v>
      </c>
      <c r="G121" s="9">
        <v>103.7</v>
      </c>
      <c r="H121" s="10">
        <f t="shared" si="0"/>
        <v>1.0501446480231438</v>
      </c>
      <c r="I121" s="9">
        <f t="shared" si="1"/>
        <v>9256.5</v>
      </c>
      <c r="J121" s="9">
        <v>0.94</v>
      </c>
      <c r="K121" s="11">
        <f t="shared" si="2"/>
        <v>8.6317722681359035E-3</v>
      </c>
      <c r="L121" s="9">
        <f t="shared" si="3"/>
        <v>79.899999999999991</v>
      </c>
    </row>
    <row r="122" spans="1:12" x14ac:dyDescent="0.25">
      <c r="A122" s="5" t="s">
        <v>44</v>
      </c>
      <c r="B122" s="6" t="s">
        <v>45</v>
      </c>
      <c r="C122" s="6" t="s">
        <v>14</v>
      </c>
      <c r="D122" s="7">
        <v>45474</v>
      </c>
      <c r="E122" s="8">
        <v>65</v>
      </c>
      <c r="F122" s="9">
        <v>123.4</v>
      </c>
      <c r="G122" s="9">
        <v>123.3</v>
      </c>
      <c r="H122" s="10">
        <f t="shared" si="0"/>
        <v>1.0008110300081103</v>
      </c>
      <c r="I122" s="9">
        <f t="shared" si="1"/>
        <v>8021</v>
      </c>
      <c r="J122" s="9">
        <v>0.89</v>
      </c>
      <c r="K122" s="11">
        <f t="shared" si="2"/>
        <v>7.2123176661264181E-3</v>
      </c>
      <c r="L122" s="9">
        <f t="shared" si="3"/>
        <v>57.85</v>
      </c>
    </row>
    <row r="123" spans="1:12" x14ac:dyDescent="0.25">
      <c r="A123" s="5" t="s">
        <v>46</v>
      </c>
      <c r="B123" s="6" t="s">
        <v>47</v>
      </c>
      <c r="C123" s="6" t="s">
        <v>17</v>
      </c>
      <c r="D123" s="7">
        <v>45474</v>
      </c>
      <c r="E123" s="8">
        <v>600</v>
      </c>
      <c r="F123" s="9">
        <v>8.42</v>
      </c>
      <c r="G123" s="9">
        <v>8.89</v>
      </c>
      <c r="H123" s="10">
        <f t="shared" si="0"/>
        <v>0.9471316085489313</v>
      </c>
      <c r="I123" s="9">
        <f t="shared" si="1"/>
        <v>5052</v>
      </c>
      <c r="J123" s="9">
        <v>0.08</v>
      </c>
      <c r="K123" s="11">
        <f t="shared" si="2"/>
        <v>9.5011876484560574E-3</v>
      </c>
      <c r="L123" s="9">
        <f t="shared" si="3"/>
        <v>48</v>
      </c>
    </row>
    <row r="124" spans="1:12" x14ac:dyDescent="0.25">
      <c r="A124" s="5" t="s">
        <v>48</v>
      </c>
      <c r="B124" s="6" t="s">
        <v>49</v>
      </c>
      <c r="C124" s="6" t="s">
        <v>17</v>
      </c>
      <c r="D124" s="7">
        <v>45474</v>
      </c>
      <c r="E124" s="8">
        <v>550</v>
      </c>
      <c r="F124" s="9">
        <v>9.3000000000000007</v>
      </c>
      <c r="G124" s="9">
        <v>9.26</v>
      </c>
      <c r="H124" s="10">
        <f t="shared" si="0"/>
        <v>1.0043196544276458</v>
      </c>
      <c r="I124" s="9">
        <f t="shared" si="1"/>
        <v>5115</v>
      </c>
      <c r="J124" s="9">
        <v>0.09</v>
      </c>
      <c r="K124" s="11">
        <f t="shared" si="2"/>
        <v>9.6774193548387084E-3</v>
      </c>
      <c r="L124" s="9">
        <f t="shared" si="3"/>
        <v>49.5</v>
      </c>
    </row>
    <row r="125" spans="1:12" x14ac:dyDescent="0.25">
      <c r="A125" s="5" t="s">
        <v>50</v>
      </c>
      <c r="B125" s="6" t="s">
        <v>51</v>
      </c>
      <c r="C125" s="6" t="s">
        <v>23</v>
      </c>
      <c r="D125" s="7">
        <v>45474</v>
      </c>
      <c r="E125" s="8">
        <v>450</v>
      </c>
      <c r="F125" s="9">
        <v>10.02</v>
      </c>
      <c r="G125" s="9">
        <v>9.8000000000000007</v>
      </c>
      <c r="H125" s="10">
        <f t="shared" si="0"/>
        <v>1.0224489795918366</v>
      </c>
      <c r="I125" s="9">
        <f t="shared" si="1"/>
        <v>4509</v>
      </c>
      <c r="J125" s="9">
        <v>0.11</v>
      </c>
      <c r="K125" s="11">
        <f t="shared" si="2"/>
        <v>1.0978043912175649E-2</v>
      </c>
      <c r="L125" s="9">
        <f t="shared" si="3"/>
        <v>49.5</v>
      </c>
    </row>
    <row r="126" spans="1:12" x14ac:dyDescent="0.25">
      <c r="A126" s="5" t="s">
        <v>52</v>
      </c>
      <c r="B126" s="6" t="s">
        <v>53</v>
      </c>
      <c r="C126" s="6" t="s">
        <v>17</v>
      </c>
      <c r="D126" s="7">
        <v>45474</v>
      </c>
      <c r="E126" s="8">
        <v>95</v>
      </c>
      <c r="F126" s="9">
        <v>105.1</v>
      </c>
      <c r="G126" s="9">
        <v>102.4</v>
      </c>
      <c r="H126" s="10">
        <f t="shared" si="0"/>
        <v>1.0263671874999998</v>
      </c>
      <c r="I126" s="9">
        <f t="shared" si="1"/>
        <v>9984.5</v>
      </c>
      <c r="J126" s="9">
        <v>1.1299999999999999</v>
      </c>
      <c r="K126" s="11">
        <f t="shared" si="2"/>
        <v>1.0751665080875356E-2</v>
      </c>
      <c r="L126" s="9">
        <f t="shared" si="3"/>
        <v>107.35</v>
      </c>
    </row>
    <row r="127" spans="1:12" x14ac:dyDescent="0.25">
      <c r="A127" s="5" t="s">
        <v>54</v>
      </c>
      <c r="B127" s="6" t="s">
        <v>55</v>
      </c>
      <c r="C127" s="6" t="s">
        <v>36</v>
      </c>
      <c r="D127" s="7">
        <v>45474</v>
      </c>
      <c r="E127" s="8">
        <v>110</v>
      </c>
      <c r="F127" s="9">
        <v>73.900000000000006</v>
      </c>
      <c r="G127" s="9">
        <v>111.3</v>
      </c>
      <c r="H127" s="10">
        <f t="shared" si="0"/>
        <v>0.66397124887690928</v>
      </c>
      <c r="I127" s="9">
        <f t="shared" si="1"/>
        <v>8129.0000000000009</v>
      </c>
      <c r="J127" s="9">
        <v>0.5</v>
      </c>
      <c r="K127" s="11">
        <f t="shared" si="2"/>
        <v>6.7658998646820019E-3</v>
      </c>
      <c r="L127" s="9">
        <f t="shared" si="3"/>
        <v>55</v>
      </c>
    </row>
    <row r="128" spans="1:12" x14ac:dyDescent="0.25">
      <c r="A128" s="5" t="s">
        <v>12</v>
      </c>
      <c r="B128" s="6" t="s">
        <v>13</v>
      </c>
      <c r="C128" s="6" t="s">
        <v>14</v>
      </c>
      <c r="D128" s="7">
        <v>45505</v>
      </c>
      <c r="E128" s="8">
        <v>80</v>
      </c>
      <c r="F128" s="9">
        <v>167.8</v>
      </c>
      <c r="G128" s="9">
        <v>157.5</v>
      </c>
      <c r="H128" s="10">
        <f t="shared" si="0"/>
        <v>1.0653968253968256</v>
      </c>
      <c r="I128" s="9">
        <f t="shared" si="1"/>
        <v>13424</v>
      </c>
      <c r="J128" s="9">
        <v>1.1000000000000001</v>
      </c>
      <c r="K128" s="11">
        <f t="shared" si="2"/>
        <v>6.5554231227651968E-3</v>
      </c>
      <c r="L128" s="9">
        <f t="shared" si="3"/>
        <v>88</v>
      </c>
    </row>
    <row r="129" spans="1:12" x14ac:dyDescent="0.25">
      <c r="A129" s="5" t="s">
        <v>15</v>
      </c>
      <c r="B129" s="6" t="s">
        <v>16</v>
      </c>
      <c r="C129" s="6" t="s">
        <v>17</v>
      </c>
      <c r="D129" s="7">
        <v>45505</v>
      </c>
      <c r="E129" s="8">
        <v>120</v>
      </c>
      <c r="F129" s="9">
        <v>96.6</v>
      </c>
      <c r="G129" s="9">
        <v>97.55</v>
      </c>
      <c r="H129" s="10">
        <f t="shared" si="0"/>
        <v>0.99026140440799582</v>
      </c>
      <c r="I129" s="9">
        <f t="shared" si="1"/>
        <v>11592</v>
      </c>
      <c r="J129" s="9">
        <v>0.99</v>
      </c>
      <c r="K129" s="11">
        <f t="shared" si="2"/>
        <v>1.0248447204968945E-2</v>
      </c>
      <c r="L129" s="9">
        <f t="shared" si="3"/>
        <v>118.8</v>
      </c>
    </row>
    <row r="130" spans="1:12" x14ac:dyDescent="0.25">
      <c r="A130" s="5" t="s">
        <v>18</v>
      </c>
      <c r="B130" s="6" t="s">
        <v>19</v>
      </c>
      <c r="C130" s="6" t="s">
        <v>20</v>
      </c>
      <c r="D130" s="7">
        <v>45505</v>
      </c>
      <c r="E130" s="8">
        <v>100</v>
      </c>
      <c r="F130" s="9">
        <v>111.5</v>
      </c>
      <c r="G130" s="9">
        <v>113.1</v>
      </c>
      <c r="H130" s="10">
        <f t="shared" si="0"/>
        <v>0.98585322723253765</v>
      </c>
      <c r="I130" s="9">
        <f t="shared" si="1"/>
        <v>11150</v>
      </c>
      <c r="J130" s="9">
        <v>0.92</v>
      </c>
      <c r="K130" s="11">
        <f t="shared" si="2"/>
        <v>8.2511210762331848E-3</v>
      </c>
      <c r="L130" s="9">
        <f t="shared" si="3"/>
        <v>92</v>
      </c>
    </row>
    <row r="131" spans="1:12" x14ac:dyDescent="0.25">
      <c r="A131" s="5" t="s">
        <v>21</v>
      </c>
      <c r="B131" s="6" t="s">
        <v>22</v>
      </c>
      <c r="C131" s="6" t="s">
        <v>23</v>
      </c>
      <c r="D131" s="7">
        <v>45505</v>
      </c>
      <c r="E131" s="8">
        <v>150</v>
      </c>
      <c r="F131" s="9">
        <v>105.3</v>
      </c>
      <c r="G131" s="9">
        <v>102.2</v>
      </c>
      <c r="H131" s="10">
        <f t="shared" si="0"/>
        <v>1.0303326810176126</v>
      </c>
      <c r="I131" s="9">
        <f t="shared" si="1"/>
        <v>15795</v>
      </c>
      <c r="J131" s="9">
        <v>1.07</v>
      </c>
      <c r="K131" s="11">
        <f t="shared" si="2"/>
        <v>1.016144349477683E-2</v>
      </c>
      <c r="L131" s="9">
        <f t="shared" si="3"/>
        <v>160.5</v>
      </c>
    </row>
    <row r="132" spans="1:12" x14ac:dyDescent="0.25">
      <c r="A132" s="5" t="s">
        <v>24</v>
      </c>
      <c r="B132" s="6" t="s">
        <v>25</v>
      </c>
      <c r="C132" s="6" t="s">
        <v>14</v>
      </c>
      <c r="D132" s="7">
        <v>45505</v>
      </c>
      <c r="E132" s="8">
        <v>90</v>
      </c>
      <c r="F132" s="9">
        <v>104</v>
      </c>
      <c r="G132" s="9">
        <v>99.85</v>
      </c>
      <c r="H132" s="10">
        <f t="shared" si="0"/>
        <v>1.041562343515273</v>
      </c>
      <c r="I132" s="9">
        <f t="shared" si="1"/>
        <v>9360</v>
      </c>
      <c r="J132" s="9">
        <v>0.78</v>
      </c>
      <c r="K132" s="11">
        <f t="shared" si="2"/>
        <v>7.5000000000000006E-3</v>
      </c>
      <c r="L132" s="9">
        <f t="shared" si="3"/>
        <v>70.2</v>
      </c>
    </row>
    <row r="133" spans="1:12" x14ac:dyDescent="0.25">
      <c r="A133" s="5" t="s">
        <v>26</v>
      </c>
      <c r="B133" s="6" t="s">
        <v>27</v>
      </c>
      <c r="C133" s="6" t="s">
        <v>20</v>
      </c>
      <c r="D133" s="7">
        <v>45505</v>
      </c>
      <c r="E133" s="8">
        <v>110</v>
      </c>
      <c r="F133" s="9">
        <v>121</v>
      </c>
      <c r="G133" s="9">
        <v>125.9</v>
      </c>
      <c r="H133" s="10">
        <f t="shared" si="0"/>
        <v>0.96108022239872914</v>
      </c>
      <c r="I133" s="9">
        <f t="shared" si="1"/>
        <v>13310</v>
      </c>
      <c r="J133" s="9">
        <v>1</v>
      </c>
      <c r="K133" s="11">
        <f t="shared" si="2"/>
        <v>8.2644628099173556E-3</v>
      </c>
      <c r="L133" s="9">
        <f t="shared" si="3"/>
        <v>110</v>
      </c>
    </row>
    <row r="134" spans="1:12" x14ac:dyDescent="0.25">
      <c r="A134" s="5" t="s">
        <v>28</v>
      </c>
      <c r="B134" s="6" t="s">
        <v>29</v>
      </c>
      <c r="C134" s="6" t="s">
        <v>30</v>
      </c>
      <c r="D134" s="7">
        <v>45505</v>
      </c>
      <c r="E134" s="8">
        <v>75</v>
      </c>
      <c r="F134" s="9">
        <v>130.1</v>
      </c>
      <c r="G134" s="9">
        <v>125.3</v>
      </c>
      <c r="H134" s="10">
        <f t="shared" si="0"/>
        <v>1.0383080606544293</v>
      </c>
      <c r="I134" s="9">
        <f t="shared" si="1"/>
        <v>9757.5</v>
      </c>
      <c r="J134" s="9">
        <v>0.9</v>
      </c>
      <c r="K134" s="11">
        <f t="shared" si="2"/>
        <v>6.9177555726364342E-3</v>
      </c>
      <c r="L134" s="9">
        <f t="shared" si="3"/>
        <v>67.5</v>
      </c>
    </row>
    <row r="135" spans="1:12" x14ac:dyDescent="0.25">
      <c r="A135" s="5" t="s">
        <v>31</v>
      </c>
      <c r="B135" s="6" t="s">
        <v>32</v>
      </c>
      <c r="C135" s="6" t="s">
        <v>33</v>
      </c>
      <c r="D135" s="7">
        <v>45505</v>
      </c>
      <c r="E135" s="8">
        <v>500</v>
      </c>
      <c r="F135" s="9">
        <v>10.5</v>
      </c>
      <c r="G135" s="9">
        <v>9.9</v>
      </c>
      <c r="H135" s="10">
        <f t="shared" si="0"/>
        <v>1.0606060606060606</v>
      </c>
      <c r="I135" s="9">
        <f t="shared" si="1"/>
        <v>5250</v>
      </c>
      <c r="J135" s="9">
        <v>0.1</v>
      </c>
      <c r="K135" s="11">
        <f t="shared" si="2"/>
        <v>9.5238095238095247E-3</v>
      </c>
      <c r="L135" s="9">
        <f t="shared" si="3"/>
        <v>50</v>
      </c>
    </row>
    <row r="136" spans="1:12" x14ac:dyDescent="0.25">
      <c r="A136" s="5" t="s">
        <v>34</v>
      </c>
      <c r="B136" s="6" t="s">
        <v>35</v>
      </c>
      <c r="C136" s="6" t="s">
        <v>36</v>
      </c>
      <c r="D136" s="7">
        <v>45505</v>
      </c>
      <c r="E136" s="8">
        <v>85</v>
      </c>
      <c r="F136" s="9">
        <v>90.4</v>
      </c>
      <c r="G136" s="9">
        <v>99.35</v>
      </c>
      <c r="H136" s="10">
        <f t="shared" si="0"/>
        <v>0.90991444388525422</v>
      </c>
      <c r="I136" s="9">
        <f t="shared" si="1"/>
        <v>7684.0000000000009</v>
      </c>
      <c r="J136" s="9">
        <v>0.7</v>
      </c>
      <c r="K136" s="11">
        <f t="shared" si="2"/>
        <v>7.7433628318584061E-3</v>
      </c>
      <c r="L136" s="9">
        <f t="shared" si="3"/>
        <v>59.499999999999993</v>
      </c>
    </row>
    <row r="137" spans="1:12" x14ac:dyDescent="0.25">
      <c r="A137" s="5" t="s">
        <v>37</v>
      </c>
      <c r="B137" s="6" t="s">
        <v>38</v>
      </c>
      <c r="C137" s="6" t="s">
        <v>39</v>
      </c>
      <c r="D137" s="7">
        <v>45505</v>
      </c>
      <c r="E137" s="8">
        <v>60</v>
      </c>
      <c r="F137" s="9">
        <v>97.5</v>
      </c>
      <c r="G137" s="9">
        <v>98.7</v>
      </c>
      <c r="H137" s="10">
        <f t="shared" si="0"/>
        <v>0.9878419452887538</v>
      </c>
      <c r="I137" s="9">
        <f t="shared" si="1"/>
        <v>5850</v>
      </c>
      <c r="J137" s="9">
        <v>0.85</v>
      </c>
      <c r="K137" s="11">
        <f t="shared" si="2"/>
        <v>8.7179487179487175E-3</v>
      </c>
      <c r="L137" s="9">
        <f t="shared" si="3"/>
        <v>51</v>
      </c>
    </row>
    <row r="138" spans="1:12" x14ac:dyDescent="0.25">
      <c r="A138" s="5" t="s">
        <v>40</v>
      </c>
      <c r="B138" s="6" t="s">
        <v>41</v>
      </c>
      <c r="C138" s="6" t="s">
        <v>30</v>
      </c>
      <c r="D138" s="7">
        <v>45505</v>
      </c>
      <c r="E138" s="8">
        <v>70</v>
      </c>
      <c r="F138" s="9">
        <v>116.8</v>
      </c>
      <c r="G138" s="9">
        <v>110.2</v>
      </c>
      <c r="H138" s="10">
        <f t="shared" si="0"/>
        <v>1.0598911070780399</v>
      </c>
      <c r="I138" s="9">
        <f t="shared" si="1"/>
        <v>8176</v>
      </c>
      <c r="J138" s="9">
        <v>0.83</v>
      </c>
      <c r="K138" s="11">
        <f t="shared" si="2"/>
        <v>7.1061643835616433E-3</v>
      </c>
      <c r="L138" s="9">
        <f t="shared" si="3"/>
        <v>58.099999999999994</v>
      </c>
    </row>
    <row r="139" spans="1:12" x14ac:dyDescent="0.25">
      <c r="A139" s="5" t="s">
        <v>42</v>
      </c>
      <c r="B139" s="6" t="s">
        <v>43</v>
      </c>
      <c r="C139" s="6" t="s">
        <v>30</v>
      </c>
      <c r="D139" s="7">
        <v>45505</v>
      </c>
      <c r="E139" s="8">
        <v>85</v>
      </c>
      <c r="F139" s="9">
        <v>109.2</v>
      </c>
      <c r="G139" s="9">
        <v>103.8</v>
      </c>
      <c r="H139" s="10">
        <f t="shared" si="0"/>
        <v>1.0520231213872833</v>
      </c>
      <c r="I139" s="9">
        <f t="shared" si="1"/>
        <v>9282</v>
      </c>
      <c r="J139" s="9">
        <v>0.94</v>
      </c>
      <c r="K139" s="11">
        <f t="shared" si="2"/>
        <v>8.608058608058607E-3</v>
      </c>
      <c r="L139" s="9">
        <f t="shared" si="3"/>
        <v>79.899999999999991</v>
      </c>
    </row>
    <row r="140" spans="1:12" x14ac:dyDescent="0.25">
      <c r="A140" s="5" t="s">
        <v>44</v>
      </c>
      <c r="B140" s="6" t="s">
        <v>45</v>
      </c>
      <c r="C140" s="6" t="s">
        <v>14</v>
      </c>
      <c r="D140" s="7">
        <v>45505</v>
      </c>
      <c r="E140" s="8">
        <v>65</v>
      </c>
      <c r="F140" s="9">
        <v>123.7</v>
      </c>
      <c r="G140" s="9">
        <v>123.35</v>
      </c>
      <c r="H140" s="10">
        <f t="shared" si="0"/>
        <v>1.0028374543980545</v>
      </c>
      <c r="I140" s="9">
        <f t="shared" si="1"/>
        <v>8040.5</v>
      </c>
      <c r="J140" s="9">
        <v>0.89</v>
      </c>
      <c r="K140" s="11">
        <f t="shared" si="2"/>
        <v>7.1948261924009698E-3</v>
      </c>
      <c r="L140" s="9">
        <f t="shared" si="3"/>
        <v>57.85</v>
      </c>
    </row>
    <row r="141" spans="1:12" x14ac:dyDescent="0.25">
      <c r="A141" s="5" t="s">
        <v>46</v>
      </c>
      <c r="B141" s="6" t="s">
        <v>47</v>
      </c>
      <c r="C141" s="6" t="s">
        <v>17</v>
      </c>
      <c r="D141" s="7">
        <v>45505</v>
      </c>
      <c r="E141" s="8">
        <v>600</v>
      </c>
      <c r="F141" s="9">
        <v>8.4499999999999993</v>
      </c>
      <c r="G141" s="9">
        <v>8.9</v>
      </c>
      <c r="H141" s="10">
        <f t="shared" si="0"/>
        <v>0.94943820224719089</v>
      </c>
      <c r="I141" s="9">
        <f t="shared" si="1"/>
        <v>5070</v>
      </c>
      <c r="J141" s="9">
        <v>0.08</v>
      </c>
      <c r="K141" s="11">
        <f t="shared" si="2"/>
        <v>9.467455621301777E-3</v>
      </c>
      <c r="L141" s="9">
        <f t="shared" si="3"/>
        <v>48</v>
      </c>
    </row>
    <row r="142" spans="1:12" x14ac:dyDescent="0.25">
      <c r="A142" s="5" t="s">
        <v>48</v>
      </c>
      <c r="B142" s="6" t="s">
        <v>49</v>
      </c>
      <c r="C142" s="6" t="s">
        <v>17</v>
      </c>
      <c r="D142" s="7">
        <v>45505</v>
      </c>
      <c r="E142" s="8">
        <v>550</v>
      </c>
      <c r="F142" s="9">
        <v>9.32</v>
      </c>
      <c r="G142" s="9">
        <v>9.27</v>
      </c>
      <c r="H142" s="10">
        <f t="shared" si="0"/>
        <v>1.005393743257821</v>
      </c>
      <c r="I142" s="9">
        <f t="shared" si="1"/>
        <v>5126</v>
      </c>
      <c r="J142" s="9">
        <v>0.09</v>
      </c>
      <c r="K142" s="11">
        <f t="shared" si="2"/>
        <v>9.6566523605150206E-3</v>
      </c>
      <c r="L142" s="9">
        <f t="shared" si="3"/>
        <v>49.5</v>
      </c>
    </row>
    <row r="143" spans="1:12" x14ac:dyDescent="0.25">
      <c r="A143" s="5" t="s">
        <v>50</v>
      </c>
      <c r="B143" s="6" t="s">
        <v>51</v>
      </c>
      <c r="C143" s="6" t="s">
        <v>23</v>
      </c>
      <c r="D143" s="7">
        <v>45505</v>
      </c>
      <c r="E143" s="8">
        <v>450</v>
      </c>
      <c r="F143" s="9">
        <v>10.050000000000001</v>
      </c>
      <c r="G143" s="9">
        <v>9.81</v>
      </c>
      <c r="H143" s="10">
        <f t="shared" si="0"/>
        <v>1.0244648318042813</v>
      </c>
      <c r="I143" s="9">
        <f t="shared" si="1"/>
        <v>4522.5</v>
      </c>
      <c r="J143" s="9">
        <v>0.11</v>
      </c>
      <c r="K143" s="11">
        <f t="shared" si="2"/>
        <v>1.0945273631840795E-2</v>
      </c>
      <c r="L143" s="9">
        <f t="shared" si="3"/>
        <v>49.5</v>
      </c>
    </row>
    <row r="144" spans="1:12" x14ac:dyDescent="0.25">
      <c r="A144" s="5" t="s">
        <v>52</v>
      </c>
      <c r="B144" s="6" t="s">
        <v>53</v>
      </c>
      <c r="C144" s="6" t="s">
        <v>17</v>
      </c>
      <c r="D144" s="7">
        <v>45505</v>
      </c>
      <c r="E144" s="8">
        <v>95</v>
      </c>
      <c r="F144" s="9">
        <v>105.3</v>
      </c>
      <c r="G144" s="9">
        <v>102.45</v>
      </c>
      <c r="H144" s="10">
        <f t="shared" si="0"/>
        <v>1.027818448023426</v>
      </c>
      <c r="I144" s="9">
        <f t="shared" si="1"/>
        <v>10003.5</v>
      </c>
      <c r="J144" s="9">
        <v>1.1299999999999999</v>
      </c>
      <c r="K144" s="11">
        <f t="shared" si="2"/>
        <v>1.0731244064577396E-2</v>
      </c>
      <c r="L144" s="9">
        <f t="shared" si="3"/>
        <v>107.35</v>
      </c>
    </row>
    <row r="145" spans="1:12" x14ac:dyDescent="0.25">
      <c r="A145" s="5" t="s">
        <v>54</v>
      </c>
      <c r="B145" s="6" t="s">
        <v>55</v>
      </c>
      <c r="C145" s="6" t="s">
        <v>36</v>
      </c>
      <c r="D145" s="7">
        <v>45505</v>
      </c>
      <c r="E145" s="8">
        <v>110</v>
      </c>
      <c r="F145" s="9">
        <v>74.099999999999994</v>
      </c>
      <c r="G145" s="9">
        <v>111.35</v>
      </c>
      <c r="H145" s="10">
        <f t="shared" si="0"/>
        <v>0.66546924113156714</v>
      </c>
      <c r="I145" s="9">
        <f t="shared" si="1"/>
        <v>8150.9999999999991</v>
      </c>
      <c r="J145" s="9">
        <v>0.5</v>
      </c>
      <c r="K145" s="11">
        <f t="shared" si="2"/>
        <v>6.7476383265856954E-3</v>
      </c>
      <c r="L145" s="9">
        <f t="shared" si="3"/>
        <v>55</v>
      </c>
    </row>
    <row r="146" spans="1:12" x14ac:dyDescent="0.25">
      <c r="A146" s="5" t="s">
        <v>12</v>
      </c>
      <c r="B146" s="6" t="s">
        <v>13</v>
      </c>
      <c r="C146" s="6" t="s">
        <v>14</v>
      </c>
      <c r="D146" s="7">
        <v>45536</v>
      </c>
      <c r="E146" s="8">
        <v>80</v>
      </c>
      <c r="F146" s="9">
        <v>167.5</v>
      </c>
      <c r="G146" s="9">
        <v>157.55000000000001</v>
      </c>
      <c r="H146" s="10">
        <f t="shared" si="0"/>
        <v>1.0631545541098064</v>
      </c>
      <c r="I146" s="9">
        <f t="shared" si="1"/>
        <v>13400</v>
      </c>
      <c r="J146" s="9">
        <v>1.1000000000000001</v>
      </c>
      <c r="K146" s="11">
        <f t="shared" si="2"/>
        <v>6.5671641791044781E-3</v>
      </c>
      <c r="L146" s="9">
        <f t="shared" si="3"/>
        <v>88</v>
      </c>
    </row>
    <row r="147" spans="1:12" x14ac:dyDescent="0.25">
      <c r="A147" s="5" t="s">
        <v>15</v>
      </c>
      <c r="B147" s="6" t="s">
        <v>16</v>
      </c>
      <c r="C147" s="6" t="s">
        <v>17</v>
      </c>
      <c r="D147" s="7">
        <v>45536</v>
      </c>
      <c r="E147" s="8">
        <v>120</v>
      </c>
      <c r="F147" s="9">
        <v>96.8</v>
      </c>
      <c r="G147" s="9">
        <v>97.6</v>
      </c>
      <c r="H147" s="10">
        <f t="shared" si="0"/>
        <v>0.99180327868852458</v>
      </c>
      <c r="I147" s="9">
        <f t="shared" si="1"/>
        <v>11616</v>
      </c>
      <c r="J147" s="9">
        <v>1</v>
      </c>
      <c r="K147" s="11">
        <f t="shared" si="2"/>
        <v>1.0330578512396695E-2</v>
      </c>
      <c r="L147" s="9">
        <f t="shared" si="3"/>
        <v>120</v>
      </c>
    </row>
    <row r="148" spans="1:12" x14ac:dyDescent="0.25">
      <c r="A148" s="5" t="s">
        <v>18</v>
      </c>
      <c r="B148" s="6" t="s">
        <v>19</v>
      </c>
      <c r="C148" s="6" t="s">
        <v>20</v>
      </c>
      <c r="D148" s="7">
        <v>45536</v>
      </c>
      <c r="E148" s="8">
        <v>100</v>
      </c>
      <c r="F148" s="9">
        <v>111.8</v>
      </c>
      <c r="G148" s="9">
        <v>113.2</v>
      </c>
      <c r="H148" s="10">
        <f t="shared" si="0"/>
        <v>0.98763250883392217</v>
      </c>
      <c r="I148" s="9">
        <f t="shared" si="1"/>
        <v>11180</v>
      </c>
      <c r="J148" s="9">
        <v>0.92</v>
      </c>
      <c r="K148" s="11">
        <f t="shared" si="2"/>
        <v>8.2289803220035786E-3</v>
      </c>
      <c r="L148" s="9">
        <f t="shared" si="3"/>
        <v>92</v>
      </c>
    </row>
    <row r="149" spans="1:12" x14ac:dyDescent="0.25">
      <c r="A149" s="5" t="s">
        <v>21</v>
      </c>
      <c r="B149" s="6" t="s">
        <v>22</v>
      </c>
      <c r="C149" s="6" t="s">
        <v>23</v>
      </c>
      <c r="D149" s="7">
        <v>45536</v>
      </c>
      <c r="E149" s="8">
        <v>150</v>
      </c>
      <c r="F149" s="9">
        <v>105.5</v>
      </c>
      <c r="G149" s="9">
        <v>102.25</v>
      </c>
      <c r="H149" s="10">
        <f t="shared" si="0"/>
        <v>1.0317848410757946</v>
      </c>
      <c r="I149" s="9">
        <f t="shared" si="1"/>
        <v>15825</v>
      </c>
      <c r="J149" s="9">
        <v>1.08</v>
      </c>
      <c r="K149" s="11">
        <f t="shared" si="2"/>
        <v>1.0236966824644551E-2</v>
      </c>
      <c r="L149" s="9">
        <f t="shared" si="3"/>
        <v>162</v>
      </c>
    </row>
    <row r="150" spans="1:12" x14ac:dyDescent="0.25">
      <c r="A150" s="5" t="s">
        <v>24</v>
      </c>
      <c r="B150" s="6" t="s">
        <v>25</v>
      </c>
      <c r="C150" s="6" t="s">
        <v>14</v>
      </c>
      <c r="D150" s="7">
        <v>45536</v>
      </c>
      <c r="E150" s="8">
        <v>90</v>
      </c>
      <c r="F150" s="9">
        <v>104.2</v>
      </c>
      <c r="G150" s="9">
        <v>99.9</v>
      </c>
      <c r="H150" s="10">
        <f t="shared" si="0"/>
        <v>1.0430430430430431</v>
      </c>
      <c r="I150" s="9">
        <f t="shared" si="1"/>
        <v>9378</v>
      </c>
      <c r="J150" s="9">
        <v>0.78</v>
      </c>
      <c r="K150" s="11">
        <f t="shared" si="2"/>
        <v>7.4856046065259118E-3</v>
      </c>
      <c r="L150" s="9">
        <f t="shared" si="3"/>
        <v>70.2</v>
      </c>
    </row>
    <row r="151" spans="1:12" x14ac:dyDescent="0.25">
      <c r="A151" s="5" t="s">
        <v>26</v>
      </c>
      <c r="B151" s="6" t="s">
        <v>27</v>
      </c>
      <c r="C151" s="6" t="s">
        <v>20</v>
      </c>
      <c r="D151" s="7">
        <v>45536</v>
      </c>
      <c r="E151" s="8">
        <v>110</v>
      </c>
      <c r="F151" s="9">
        <v>121.4</v>
      </c>
      <c r="G151" s="9">
        <v>126</v>
      </c>
      <c r="H151" s="10">
        <f t="shared" si="0"/>
        <v>0.96349206349206351</v>
      </c>
      <c r="I151" s="9">
        <f t="shared" si="1"/>
        <v>13354</v>
      </c>
      <c r="J151" s="9">
        <v>1</v>
      </c>
      <c r="K151" s="11">
        <f t="shared" si="2"/>
        <v>8.2372322899505763E-3</v>
      </c>
      <c r="L151" s="9">
        <f t="shared" si="3"/>
        <v>110</v>
      </c>
    </row>
    <row r="152" spans="1:12" x14ac:dyDescent="0.25">
      <c r="A152" s="5" t="s">
        <v>28</v>
      </c>
      <c r="B152" s="6" t="s">
        <v>29</v>
      </c>
      <c r="C152" s="6" t="s">
        <v>30</v>
      </c>
      <c r="D152" s="7">
        <v>45536</v>
      </c>
      <c r="E152" s="8">
        <v>75</v>
      </c>
      <c r="F152" s="9">
        <v>130.4</v>
      </c>
      <c r="G152" s="9">
        <v>125.4</v>
      </c>
      <c r="H152" s="10">
        <f t="shared" si="0"/>
        <v>1.0398724082934609</v>
      </c>
      <c r="I152" s="9">
        <f t="shared" si="1"/>
        <v>9780</v>
      </c>
      <c r="J152" s="9">
        <v>0.9</v>
      </c>
      <c r="K152" s="11">
        <f t="shared" si="2"/>
        <v>6.9018404907975461E-3</v>
      </c>
      <c r="L152" s="9">
        <f t="shared" si="3"/>
        <v>67.5</v>
      </c>
    </row>
    <row r="153" spans="1:12" x14ac:dyDescent="0.25">
      <c r="A153" s="5" t="s">
        <v>31</v>
      </c>
      <c r="B153" s="6" t="s">
        <v>32</v>
      </c>
      <c r="C153" s="6" t="s">
        <v>33</v>
      </c>
      <c r="D153" s="7">
        <v>45536</v>
      </c>
      <c r="E153" s="8">
        <v>500</v>
      </c>
      <c r="F153" s="9">
        <v>10.52</v>
      </c>
      <c r="G153" s="9">
        <v>9.91</v>
      </c>
      <c r="H153" s="10">
        <f t="shared" si="0"/>
        <v>1.0615539858728555</v>
      </c>
      <c r="I153" s="9">
        <f t="shared" si="1"/>
        <v>5260</v>
      </c>
      <c r="J153" s="9">
        <v>0.1</v>
      </c>
      <c r="K153" s="11">
        <f t="shared" si="2"/>
        <v>9.5057034220532334E-3</v>
      </c>
      <c r="L153" s="9">
        <f t="shared" si="3"/>
        <v>50</v>
      </c>
    </row>
    <row r="154" spans="1:12" x14ac:dyDescent="0.25">
      <c r="A154" s="5" t="s">
        <v>34</v>
      </c>
      <c r="B154" s="6" t="s">
        <v>35</v>
      </c>
      <c r="C154" s="6" t="s">
        <v>36</v>
      </c>
      <c r="D154" s="7">
        <v>45536</v>
      </c>
      <c r="E154" s="8">
        <v>85</v>
      </c>
      <c r="F154" s="9">
        <v>90.6</v>
      </c>
      <c r="G154" s="9">
        <v>99.4</v>
      </c>
      <c r="H154" s="10">
        <f t="shared" si="0"/>
        <v>0.91146881287726345</v>
      </c>
      <c r="I154" s="9">
        <f t="shared" si="1"/>
        <v>7700.9999999999991</v>
      </c>
      <c r="J154" s="9">
        <v>0.7</v>
      </c>
      <c r="K154" s="11">
        <f t="shared" si="2"/>
        <v>7.7262693156732896E-3</v>
      </c>
      <c r="L154" s="9">
        <f t="shared" si="3"/>
        <v>59.499999999999993</v>
      </c>
    </row>
    <row r="155" spans="1:12" x14ac:dyDescent="0.25">
      <c r="A155" s="5" t="s">
        <v>37</v>
      </c>
      <c r="B155" s="6" t="s">
        <v>38</v>
      </c>
      <c r="C155" s="6" t="s">
        <v>39</v>
      </c>
      <c r="D155" s="7">
        <v>45536</v>
      </c>
      <c r="E155" s="8">
        <v>60</v>
      </c>
      <c r="F155" s="9">
        <v>97.7</v>
      </c>
      <c r="G155" s="9">
        <v>98.75</v>
      </c>
      <c r="H155" s="10">
        <f t="shared" si="0"/>
        <v>0.98936708860759492</v>
      </c>
      <c r="I155" s="9">
        <f t="shared" si="1"/>
        <v>5862</v>
      </c>
      <c r="J155" s="9">
        <v>0.85</v>
      </c>
      <c r="K155" s="11">
        <f t="shared" si="2"/>
        <v>8.7001023541453427E-3</v>
      </c>
      <c r="L155" s="9">
        <f t="shared" si="3"/>
        <v>51</v>
      </c>
    </row>
    <row r="156" spans="1:12" x14ac:dyDescent="0.25">
      <c r="A156" s="5" t="s">
        <v>40</v>
      </c>
      <c r="B156" s="6" t="s">
        <v>41</v>
      </c>
      <c r="C156" s="6" t="s">
        <v>30</v>
      </c>
      <c r="D156" s="7">
        <v>45536</v>
      </c>
      <c r="E156" s="8">
        <v>70</v>
      </c>
      <c r="F156" s="9">
        <v>117.1</v>
      </c>
      <c r="G156" s="9">
        <v>110.25</v>
      </c>
      <c r="H156" s="10">
        <f t="shared" si="0"/>
        <v>1.0621315192743763</v>
      </c>
      <c r="I156" s="9">
        <f t="shared" si="1"/>
        <v>8197</v>
      </c>
      <c r="J156" s="9">
        <v>0.83</v>
      </c>
      <c r="K156" s="11">
        <f t="shared" si="2"/>
        <v>7.0879590093936807E-3</v>
      </c>
      <c r="L156" s="9">
        <f t="shared" si="3"/>
        <v>58.099999999999994</v>
      </c>
    </row>
    <row r="157" spans="1:12" x14ac:dyDescent="0.25">
      <c r="A157" s="5" t="s">
        <v>42</v>
      </c>
      <c r="B157" s="6" t="s">
        <v>43</v>
      </c>
      <c r="C157" s="6" t="s">
        <v>30</v>
      </c>
      <c r="D157" s="7">
        <v>45536</v>
      </c>
      <c r="E157" s="8">
        <v>85</v>
      </c>
      <c r="F157" s="9">
        <v>109.5</v>
      </c>
      <c r="G157" s="9">
        <v>103.9</v>
      </c>
      <c r="H157" s="10">
        <f t="shared" si="0"/>
        <v>1.0538979788257941</v>
      </c>
      <c r="I157" s="9">
        <f t="shared" si="1"/>
        <v>9307.5</v>
      </c>
      <c r="J157" s="9">
        <v>0.94</v>
      </c>
      <c r="K157" s="11">
        <f t="shared" si="2"/>
        <v>8.5844748858447482E-3</v>
      </c>
      <c r="L157" s="9">
        <f t="shared" si="3"/>
        <v>79.899999999999991</v>
      </c>
    </row>
    <row r="158" spans="1:12" x14ac:dyDescent="0.25">
      <c r="A158" s="5" t="s">
        <v>44</v>
      </c>
      <c r="B158" s="6" t="s">
        <v>45</v>
      </c>
      <c r="C158" s="6" t="s">
        <v>14</v>
      </c>
      <c r="D158" s="7">
        <v>45536</v>
      </c>
      <c r="E158" s="8">
        <v>65</v>
      </c>
      <c r="F158" s="9">
        <v>124</v>
      </c>
      <c r="G158" s="9">
        <v>123.4</v>
      </c>
      <c r="H158" s="10">
        <f t="shared" si="0"/>
        <v>1.0048622366288493</v>
      </c>
      <c r="I158" s="9">
        <f t="shared" si="1"/>
        <v>8060</v>
      </c>
      <c r="J158" s="9">
        <v>0.89</v>
      </c>
      <c r="K158" s="11">
        <f t="shared" si="2"/>
        <v>7.1774193548387096E-3</v>
      </c>
      <c r="L158" s="9">
        <f t="shared" si="3"/>
        <v>57.85</v>
      </c>
    </row>
    <row r="159" spans="1:12" x14ac:dyDescent="0.25">
      <c r="A159" s="5" t="s">
        <v>46</v>
      </c>
      <c r="B159" s="6" t="s">
        <v>47</v>
      </c>
      <c r="C159" s="6" t="s">
        <v>17</v>
      </c>
      <c r="D159" s="7">
        <v>45536</v>
      </c>
      <c r="E159" s="8">
        <v>600</v>
      </c>
      <c r="F159" s="9">
        <v>8.48</v>
      </c>
      <c r="G159" s="9">
        <v>8.91</v>
      </c>
      <c r="H159" s="10">
        <f t="shared" si="0"/>
        <v>0.95173961840628507</v>
      </c>
      <c r="I159" s="9">
        <f t="shared" si="1"/>
        <v>5088</v>
      </c>
      <c r="J159" s="9">
        <v>0.08</v>
      </c>
      <c r="K159" s="11">
        <f t="shared" si="2"/>
        <v>9.433962264150943E-3</v>
      </c>
      <c r="L159" s="9">
        <f t="shared" si="3"/>
        <v>48</v>
      </c>
    </row>
    <row r="160" spans="1:12" x14ac:dyDescent="0.25">
      <c r="A160" s="5" t="s">
        <v>48</v>
      </c>
      <c r="B160" s="6" t="s">
        <v>49</v>
      </c>
      <c r="C160" s="6" t="s">
        <v>17</v>
      </c>
      <c r="D160" s="7">
        <v>45536</v>
      </c>
      <c r="E160" s="8">
        <v>550</v>
      </c>
      <c r="F160" s="9">
        <v>9.35</v>
      </c>
      <c r="G160" s="9">
        <v>9.2799999999999994</v>
      </c>
      <c r="H160" s="10">
        <f t="shared" si="0"/>
        <v>1.0075431034482758</v>
      </c>
      <c r="I160" s="9">
        <f t="shared" si="1"/>
        <v>5142.5</v>
      </c>
      <c r="J160" s="9">
        <v>0.09</v>
      </c>
      <c r="K160" s="11">
        <f t="shared" si="2"/>
        <v>9.6256684491978616E-3</v>
      </c>
      <c r="L160" s="9">
        <f t="shared" si="3"/>
        <v>49.5</v>
      </c>
    </row>
    <row r="161" spans="1:12" x14ac:dyDescent="0.25">
      <c r="A161" s="5" t="s">
        <v>50</v>
      </c>
      <c r="B161" s="6" t="s">
        <v>51</v>
      </c>
      <c r="C161" s="6" t="s">
        <v>23</v>
      </c>
      <c r="D161" s="7">
        <v>45536</v>
      </c>
      <c r="E161" s="8">
        <v>450</v>
      </c>
      <c r="F161" s="9">
        <v>10.08</v>
      </c>
      <c r="G161" s="9">
        <v>9.82</v>
      </c>
      <c r="H161" s="10">
        <f t="shared" si="0"/>
        <v>1.0264765784114054</v>
      </c>
      <c r="I161" s="9">
        <f t="shared" si="1"/>
        <v>4536</v>
      </c>
      <c r="J161" s="9">
        <v>0.11</v>
      </c>
      <c r="K161" s="11">
        <f t="shared" si="2"/>
        <v>1.0912698412698412E-2</v>
      </c>
      <c r="L161" s="9">
        <f t="shared" si="3"/>
        <v>49.5</v>
      </c>
    </row>
    <row r="162" spans="1:12" x14ac:dyDescent="0.25">
      <c r="A162" s="5" t="s">
        <v>52</v>
      </c>
      <c r="B162" s="6" t="s">
        <v>53</v>
      </c>
      <c r="C162" s="6" t="s">
        <v>17</v>
      </c>
      <c r="D162" s="7">
        <v>45536</v>
      </c>
      <c r="E162" s="8">
        <v>95</v>
      </c>
      <c r="F162" s="9">
        <v>105.5</v>
      </c>
      <c r="G162" s="9">
        <v>102.5</v>
      </c>
      <c r="H162" s="10">
        <f t="shared" si="0"/>
        <v>1.0292682926829269</v>
      </c>
      <c r="I162" s="9">
        <f t="shared" si="1"/>
        <v>10022.5</v>
      </c>
      <c r="J162" s="9">
        <v>1.1399999999999999</v>
      </c>
      <c r="K162" s="11">
        <f t="shared" si="2"/>
        <v>1.0805687203791468E-2</v>
      </c>
      <c r="L162" s="9">
        <f t="shared" si="3"/>
        <v>108.3</v>
      </c>
    </row>
    <row r="163" spans="1:12" x14ac:dyDescent="0.25">
      <c r="A163" s="5" t="s">
        <v>54</v>
      </c>
      <c r="B163" s="6" t="s">
        <v>55</v>
      </c>
      <c r="C163" s="6" t="s">
        <v>36</v>
      </c>
      <c r="D163" s="7">
        <v>45536</v>
      </c>
      <c r="E163" s="8">
        <v>110</v>
      </c>
      <c r="F163" s="9">
        <v>74.3</v>
      </c>
      <c r="G163" s="9">
        <v>111.4</v>
      </c>
      <c r="H163" s="10">
        <f t="shared" si="0"/>
        <v>0.66696588868940743</v>
      </c>
      <c r="I163" s="9">
        <f t="shared" si="1"/>
        <v>8173</v>
      </c>
      <c r="J163" s="9">
        <v>0.5</v>
      </c>
      <c r="K163" s="11">
        <f t="shared" si="2"/>
        <v>6.7294751009421266E-3</v>
      </c>
      <c r="L163" s="9">
        <f t="shared" si="3"/>
        <v>55</v>
      </c>
    </row>
    <row r="164" spans="1:12" x14ac:dyDescent="0.25">
      <c r="A164" s="5" t="s">
        <v>12</v>
      </c>
      <c r="B164" s="6" t="s">
        <v>13</v>
      </c>
      <c r="C164" s="6" t="s">
        <v>14</v>
      </c>
      <c r="D164" s="19">
        <v>45566</v>
      </c>
      <c r="E164" s="8">
        <v>80</v>
      </c>
      <c r="F164" s="9">
        <v>168</v>
      </c>
      <c r="G164" s="9">
        <v>157.6</v>
      </c>
      <c r="H164" s="10">
        <f t="shared" si="0"/>
        <v>1.0659898477157361</v>
      </c>
      <c r="I164" s="9">
        <f t="shared" si="1"/>
        <v>13440</v>
      </c>
      <c r="J164" s="9">
        <v>1.1000000000000001</v>
      </c>
      <c r="K164" s="11">
        <f t="shared" si="2"/>
        <v>6.5476190476190478E-3</v>
      </c>
      <c r="L164" s="9">
        <f t="shared" si="3"/>
        <v>88</v>
      </c>
    </row>
    <row r="165" spans="1:12" x14ac:dyDescent="0.25">
      <c r="A165" s="5" t="s">
        <v>15</v>
      </c>
      <c r="B165" s="6" t="s">
        <v>16</v>
      </c>
      <c r="C165" s="6" t="s">
        <v>17</v>
      </c>
      <c r="D165" s="19">
        <v>45566</v>
      </c>
      <c r="E165" s="8">
        <v>120</v>
      </c>
      <c r="F165" s="9">
        <v>97</v>
      </c>
      <c r="G165" s="9">
        <v>97.65</v>
      </c>
      <c r="H165" s="10">
        <f t="shared" si="0"/>
        <v>0.99334357398873518</v>
      </c>
      <c r="I165" s="9">
        <f t="shared" si="1"/>
        <v>11640</v>
      </c>
      <c r="J165" s="9">
        <v>1</v>
      </c>
      <c r="K165" s="11">
        <f t="shared" si="2"/>
        <v>1.0309278350515464E-2</v>
      </c>
      <c r="L165" s="9">
        <f t="shared" si="3"/>
        <v>120</v>
      </c>
    </row>
    <row r="166" spans="1:12" x14ac:dyDescent="0.25">
      <c r="A166" s="5" t="s">
        <v>18</v>
      </c>
      <c r="B166" s="6" t="s">
        <v>19</v>
      </c>
      <c r="C166" s="6" t="s">
        <v>20</v>
      </c>
      <c r="D166" s="19">
        <v>45566</v>
      </c>
      <c r="E166" s="8">
        <v>100</v>
      </c>
      <c r="F166" s="9">
        <v>112.1</v>
      </c>
      <c r="G166" s="9">
        <v>113.3</v>
      </c>
      <c r="H166" s="10">
        <f t="shared" si="0"/>
        <v>0.98940864960282437</v>
      </c>
      <c r="I166" s="9">
        <f t="shared" si="1"/>
        <v>11210</v>
      </c>
      <c r="J166" s="9">
        <v>0.92</v>
      </c>
      <c r="K166" s="11">
        <f t="shared" si="2"/>
        <v>8.206958073148975E-3</v>
      </c>
      <c r="L166" s="9">
        <f t="shared" si="3"/>
        <v>92</v>
      </c>
    </row>
    <row r="167" spans="1:12" x14ac:dyDescent="0.25">
      <c r="A167" s="5" t="s">
        <v>21</v>
      </c>
      <c r="B167" s="6" t="s">
        <v>22</v>
      </c>
      <c r="C167" s="6" t="s">
        <v>23</v>
      </c>
      <c r="D167" s="19">
        <v>45566</v>
      </c>
      <c r="E167" s="8">
        <v>150</v>
      </c>
      <c r="F167" s="9">
        <v>105.7</v>
      </c>
      <c r="G167" s="9">
        <v>102.3</v>
      </c>
      <c r="H167" s="10">
        <f t="shared" si="0"/>
        <v>1.0332355816226784</v>
      </c>
      <c r="I167" s="9">
        <f t="shared" si="1"/>
        <v>15855</v>
      </c>
      <c r="J167" s="9">
        <v>1.08</v>
      </c>
      <c r="K167" s="11">
        <f t="shared" si="2"/>
        <v>1.021759697256386E-2</v>
      </c>
      <c r="L167" s="9">
        <f t="shared" si="3"/>
        <v>162</v>
      </c>
    </row>
    <row r="168" spans="1:12" x14ac:dyDescent="0.25">
      <c r="A168" s="5" t="s">
        <v>24</v>
      </c>
      <c r="B168" s="6" t="s">
        <v>25</v>
      </c>
      <c r="C168" s="6" t="s">
        <v>14</v>
      </c>
      <c r="D168" s="19">
        <v>45566</v>
      </c>
      <c r="E168" s="8">
        <v>90</v>
      </c>
      <c r="F168" s="9">
        <v>104.5</v>
      </c>
      <c r="G168" s="9">
        <v>99.95</v>
      </c>
      <c r="H168" s="10">
        <f t="shared" si="0"/>
        <v>1.0455227613806903</v>
      </c>
      <c r="I168" s="9">
        <f t="shared" si="1"/>
        <v>9405</v>
      </c>
      <c r="J168" s="9">
        <v>0.78</v>
      </c>
      <c r="K168" s="11">
        <f t="shared" si="2"/>
        <v>7.4641148325358857E-3</v>
      </c>
      <c r="L168" s="9">
        <f t="shared" si="3"/>
        <v>70.2</v>
      </c>
    </row>
    <row r="169" spans="1:12" x14ac:dyDescent="0.25">
      <c r="A169" s="5" t="s">
        <v>26</v>
      </c>
      <c r="B169" s="6" t="s">
        <v>27</v>
      </c>
      <c r="C169" s="6" t="s">
        <v>20</v>
      </c>
      <c r="D169" s="19">
        <v>45566</v>
      </c>
      <c r="E169" s="8">
        <v>110</v>
      </c>
      <c r="F169" s="9">
        <v>121.8</v>
      </c>
      <c r="G169" s="9">
        <v>126.1</v>
      </c>
      <c r="H169" s="10">
        <f t="shared" si="0"/>
        <v>0.96590007930214117</v>
      </c>
      <c r="I169" s="9">
        <f t="shared" si="1"/>
        <v>13398</v>
      </c>
      <c r="J169" s="9">
        <v>1</v>
      </c>
      <c r="K169" s="11">
        <f t="shared" si="2"/>
        <v>8.2101806239737278E-3</v>
      </c>
      <c r="L169" s="9">
        <f t="shared" si="3"/>
        <v>110</v>
      </c>
    </row>
    <row r="170" spans="1:12" x14ac:dyDescent="0.25">
      <c r="A170" s="5" t="s">
        <v>28</v>
      </c>
      <c r="B170" s="6" t="s">
        <v>29</v>
      </c>
      <c r="C170" s="6" t="s">
        <v>30</v>
      </c>
      <c r="D170" s="19">
        <v>45566</v>
      </c>
      <c r="E170" s="8">
        <v>75</v>
      </c>
      <c r="F170" s="9">
        <v>130.69999999999999</v>
      </c>
      <c r="G170" s="9">
        <v>125.5</v>
      </c>
      <c r="H170" s="10">
        <f t="shared" si="0"/>
        <v>1.0414342629482072</v>
      </c>
      <c r="I170" s="9">
        <f t="shared" si="1"/>
        <v>9802.5</v>
      </c>
      <c r="J170" s="9">
        <v>0.9</v>
      </c>
      <c r="K170" s="11">
        <f t="shared" si="2"/>
        <v>6.8859984697781183E-3</v>
      </c>
      <c r="L170" s="9">
        <f t="shared" si="3"/>
        <v>67.5</v>
      </c>
    </row>
    <row r="171" spans="1:12" x14ac:dyDescent="0.25">
      <c r="A171" s="5" t="s">
        <v>31</v>
      </c>
      <c r="B171" s="6" t="s">
        <v>32</v>
      </c>
      <c r="C171" s="6" t="s">
        <v>33</v>
      </c>
      <c r="D171" s="19">
        <v>45566</v>
      </c>
      <c r="E171" s="8">
        <v>500</v>
      </c>
      <c r="F171" s="9">
        <v>10.55</v>
      </c>
      <c r="G171" s="9">
        <v>9.92</v>
      </c>
      <c r="H171" s="10">
        <f t="shared" si="0"/>
        <v>1.063508064516129</v>
      </c>
      <c r="I171" s="9">
        <f t="shared" si="1"/>
        <v>5275</v>
      </c>
      <c r="J171" s="9">
        <v>0.1</v>
      </c>
      <c r="K171" s="11">
        <f t="shared" si="2"/>
        <v>9.4786729857819912E-3</v>
      </c>
      <c r="L171" s="9">
        <f t="shared" si="3"/>
        <v>50</v>
      </c>
    </row>
    <row r="172" spans="1:12" x14ac:dyDescent="0.25">
      <c r="A172" s="5" t="s">
        <v>34</v>
      </c>
      <c r="B172" s="6" t="s">
        <v>35</v>
      </c>
      <c r="C172" s="6" t="s">
        <v>36</v>
      </c>
      <c r="D172" s="19">
        <v>45566</v>
      </c>
      <c r="E172" s="8">
        <v>85</v>
      </c>
      <c r="F172" s="9">
        <v>90.9</v>
      </c>
      <c r="G172" s="9">
        <v>99.45</v>
      </c>
      <c r="H172" s="10">
        <f t="shared" si="0"/>
        <v>0.91402714932126705</v>
      </c>
      <c r="I172" s="9">
        <f t="shared" si="1"/>
        <v>7726.5000000000009</v>
      </c>
      <c r="J172" s="9">
        <v>0.7</v>
      </c>
      <c r="K172" s="11">
        <f t="shared" si="2"/>
        <v>7.7007700770076997E-3</v>
      </c>
      <c r="L172" s="9">
        <f t="shared" si="3"/>
        <v>59.499999999999993</v>
      </c>
    </row>
    <row r="173" spans="1:12" x14ac:dyDescent="0.25">
      <c r="A173" s="5" t="s">
        <v>37</v>
      </c>
      <c r="B173" s="6" t="s">
        <v>38</v>
      </c>
      <c r="C173" s="6" t="s">
        <v>39</v>
      </c>
      <c r="D173" s="19">
        <v>45566</v>
      </c>
      <c r="E173" s="8">
        <v>60</v>
      </c>
      <c r="F173" s="9">
        <v>97.9</v>
      </c>
      <c r="G173" s="9">
        <v>98.8</v>
      </c>
      <c r="H173" s="10">
        <f t="shared" si="0"/>
        <v>0.99089068825910942</v>
      </c>
      <c r="I173" s="9">
        <f t="shared" si="1"/>
        <v>5874</v>
      </c>
      <c r="J173" s="9">
        <v>0.85</v>
      </c>
      <c r="K173" s="11">
        <f t="shared" si="2"/>
        <v>8.6823289070480075E-3</v>
      </c>
      <c r="L173" s="9">
        <f t="shared" si="3"/>
        <v>51</v>
      </c>
    </row>
    <row r="174" spans="1:12" x14ac:dyDescent="0.25">
      <c r="A174" s="5" t="s">
        <v>40</v>
      </c>
      <c r="B174" s="6" t="s">
        <v>41</v>
      </c>
      <c r="C174" s="6" t="s">
        <v>30</v>
      </c>
      <c r="D174" s="19">
        <v>45566</v>
      </c>
      <c r="E174" s="8">
        <v>70</v>
      </c>
      <c r="F174" s="9">
        <v>117.4</v>
      </c>
      <c r="G174" s="9">
        <v>110.3</v>
      </c>
      <c r="H174" s="10">
        <f t="shared" si="0"/>
        <v>1.0643699002719855</v>
      </c>
      <c r="I174" s="9">
        <f t="shared" si="1"/>
        <v>8218</v>
      </c>
      <c r="J174" s="9">
        <v>0.83</v>
      </c>
      <c r="K174" s="11">
        <f t="shared" si="2"/>
        <v>7.0698466780238492E-3</v>
      </c>
      <c r="L174" s="9">
        <f t="shared" si="3"/>
        <v>58.099999999999994</v>
      </c>
    </row>
    <row r="175" spans="1:12" x14ac:dyDescent="0.25">
      <c r="A175" s="5" t="s">
        <v>42</v>
      </c>
      <c r="B175" s="6" t="s">
        <v>43</v>
      </c>
      <c r="C175" s="6" t="s">
        <v>30</v>
      </c>
      <c r="D175" s="19">
        <v>45566</v>
      </c>
      <c r="E175" s="8">
        <v>85</v>
      </c>
      <c r="F175" s="9">
        <v>109.8</v>
      </c>
      <c r="G175" s="9">
        <v>104</v>
      </c>
      <c r="H175" s="10">
        <f t="shared" si="0"/>
        <v>1.0557692307692308</v>
      </c>
      <c r="I175" s="9">
        <f t="shared" si="1"/>
        <v>9333</v>
      </c>
      <c r="J175" s="9">
        <v>0.94</v>
      </c>
      <c r="K175" s="11">
        <f t="shared" si="2"/>
        <v>8.5610200364298721E-3</v>
      </c>
      <c r="L175" s="9">
        <f t="shared" si="3"/>
        <v>79.899999999999991</v>
      </c>
    </row>
    <row r="176" spans="1:12" x14ac:dyDescent="0.25">
      <c r="A176" s="5" t="s">
        <v>44</v>
      </c>
      <c r="B176" s="6" t="s">
        <v>45</v>
      </c>
      <c r="C176" s="6" t="s">
        <v>14</v>
      </c>
      <c r="D176" s="19">
        <v>45566</v>
      </c>
      <c r="E176" s="8">
        <v>65</v>
      </c>
      <c r="F176" s="9">
        <v>124.3</v>
      </c>
      <c r="G176" s="9">
        <v>123.45</v>
      </c>
      <c r="H176" s="10">
        <f t="shared" si="0"/>
        <v>1.0068853786958283</v>
      </c>
      <c r="I176" s="9">
        <f t="shared" si="1"/>
        <v>8079.5</v>
      </c>
      <c r="J176" s="9">
        <v>0.89</v>
      </c>
      <c r="K176" s="11">
        <f t="shared" si="2"/>
        <v>7.1600965406275145E-3</v>
      </c>
      <c r="L176" s="9">
        <f t="shared" si="3"/>
        <v>57.85</v>
      </c>
    </row>
    <row r="177" spans="1:12" x14ac:dyDescent="0.25">
      <c r="A177" s="5" t="s">
        <v>46</v>
      </c>
      <c r="B177" s="6" t="s">
        <v>47</v>
      </c>
      <c r="C177" s="6" t="s">
        <v>17</v>
      </c>
      <c r="D177" s="19">
        <v>45566</v>
      </c>
      <c r="E177" s="8">
        <v>600</v>
      </c>
      <c r="F177" s="9">
        <v>8.5</v>
      </c>
      <c r="G177" s="9">
        <v>8.92</v>
      </c>
      <c r="H177" s="10">
        <f t="shared" si="0"/>
        <v>0.952914798206278</v>
      </c>
      <c r="I177" s="9">
        <f t="shared" si="1"/>
        <v>5100</v>
      </c>
      <c r="J177" s="9">
        <v>0.08</v>
      </c>
      <c r="K177" s="11">
        <f t="shared" si="2"/>
        <v>9.4117647058823539E-3</v>
      </c>
      <c r="L177" s="9">
        <f t="shared" si="3"/>
        <v>48</v>
      </c>
    </row>
    <row r="178" spans="1:12" x14ac:dyDescent="0.25">
      <c r="A178" s="5" t="s">
        <v>48</v>
      </c>
      <c r="B178" s="6" t="s">
        <v>49</v>
      </c>
      <c r="C178" s="6" t="s">
        <v>17</v>
      </c>
      <c r="D178" s="19">
        <v>45566</v>
      </c>
      <c r="E178" s="8">
        <v>550</v>
      </c>
      <c r="F178" s="9">
        <v>9.3800000000000008</v>
      </c>
      <c r="G178" s="9">
        <v>9.2899999999999991</v>
      </c>
      <c r="H178" s="10">
        <f t="shared" si="0"/>
        <v>1.009687836383208</v>
      </c>
      <c r="I178" s="9">
        <f t="shared" si="1"/>
        <v>5159</v>
      </c>
      <c r="J178" s="9">
        <v>0.09</v>
      </c>
      <c r="K178" s="11">
        <f t="shared" si="2"/>
        <v>9.5948827292110864E-3</v>
      </c>
      <c r="L178" s="9">
        <f t="shared" si="3"/>
        <v>49.5</v>
      </c>
    </row>
    <row r="179" spans="1:12" x14ac:dyDescent="0.25">
      <c r="A179" s="5" t="s">
        <v>50</v>
      </c>
      <c r="B179" s="6" t="s">
        <v>51</v>
      </c>
      <c r="C179" s="6" t="s">
        <v>23</v>
      </c>
      <c r="D179" s="19">
        <v>45566</v>
      </c>
      <c r="E179" s="8">
        <v>450</v>
      </c>
      <c r="F179" s="9">
        <v>10.119999999999999</v>
      </c>
      <c r="G179" s="9">
        <v>9.83</v>
      </c>
      <c r="H179" s="10">
        <f t="shared" si="0"/>
        <v>1.0295015259409968</v>
      </c>
      <c r="I179" s="9">
        <f t="shared" si="1"/>
        <v>4554</v>
      </c>
      <c r="J179" s="9">
        <v>0.11</v>
      </c>
      <c r="K179" s="11">
        <f t="shared" si="2"/>
        <v>1.0869565217391306E-2</v>
      </c>
      <c r="L179" s="9">
        <f t="shared" si="3"/>
        <v>49.5</v>
      </c>
    </row>
    <row r="180" spans="1:12" x14ac:dyDescent="0.25">
      <c r="A180" s="5" t="s">
        <v>52</v>
      </c>
      <c r="B180" s="6" t="s">
        <v>53</v>
      </c>
      <c r="C180" s="6" t="s">
        <v>17</v>
      </c>
      <c r="D180" s="19">
        <v>45566</v>
      </c>
      <c r="E180" s="8">
        <v>95</v>
      </c>
      <c r="F180" s="9">
        <v>105.7</v>
      </c>
      <c r="G180" s="9">
        <v>102.55</v>
      </c>
      <c r="H180" s="10">
        <f t="shared" si="0"/>
        <v>1.0307167235494881</v>
      </c>
      <c r="I180" s="9">
        <f t="shared" si="1"/>
        <v>10041.5</v>
      </c>
      <c r="J180" s="9">
        <v>1.1399999999999999</v>
      </c>
      <c r="K180" s="11">
        <f t="shared" si="2"/>
        <v>1.0785241248817407E-2</v>
      </c>
      <c r="L180" s="9">
        <f t="shared" si="3"/>
        <v>108.3</v>
      </c>
    </row>
    <row r="181" spans="1:12" x14ac:dyDescent="0.25">
      <c r="A181" s="5" t="s">
        <v>54</v>
      </c>
      <c r="B181" s="6" t="s">
        <v>55</v>
      </c>
      <c r="C181" s="6" t="s">
        <v>36</v>
      </c>
      <c r="D181" s="19">
        <v>45566</v>
      </c>
      <c r="E181" s="8">
        <v>110</v>
      </c>
      <c r="F181" s="9">
        <v>74.5</v>
      </c>
      <c r="G181" s="9">
        <v>111.45</v>
      </c>
      <c r="H181" s="10">
        <f t="shared" si="0"/>
        <v>0.66846119336025123</v>
      </c>
      <c r="I181" s="9">
        <f t="shared" si="1"/>
        <v>8195</v>
      </c>
      <c r="J181" s="9">
        <v>0.5</v>
      </c>
      <c r="K181" s="11">
        <f t="shared" si="2"/>
        <v>6.7114093959731542E-3</v>
      </c>
      <c r="L181" s="9">
        <f t="shared" si="3"/>
        <v>55</v>
      </c>
    </row>
    <row r="182" spans="1:12" x14ac:dyDescent="0.25">
      <c r="A182" s="5" t="s">
        <v>12</v>
      </c>
      <c r="B182" s="6" t="s">
        <v>13</v>
      </c>
      <c r="C182" s="6" t="s">
        <v>14</v>
      </c>
      <c r="D182" s="19">
        <v>45597</v>
      </c>
      <c r="E182" s="8">
        <v>80</v>
      </c>
      <c r="F182" s="9">
        <v>168.4</v>
      </c>
      <c r="G182" s="9">
        <v>157.69999999999999</v>
      </c>
      <c r="H182" s="10">
        <f t="shared" si="0"/>
        <v>1.067850348763475</v>
      </c>
      <c r="I182" s="9">
        <f t="shared" si="1"/>
        <v>13472</v>
      </c>
      <c r="J182" s="9">
        <v>1.1000000000000001</v>
      </c>
      <c r="K182" s="11">
        <f t="shared" si="2"/>
        <v>6.5320665083135393E-3</v>
      </c>
      <c r="L182" s="9">
        <f t="shared" si="3"/>
        <v>88</v>
      </c>
    </row>
    <row r="183" spans="1:12" x14ac:dyDescent="0.25">
      <c r="A183" s="5" t="s">
        <v>15</v>
      </c>
      <c r="B183" s="6" t="s">
        <v>16</v>
      </c>
      <c r="C183" s="6" t="s">
        <v>17</v>
      </c>
      <c r="D183" s="19">
        <v>45597</v>
      </c>
      <c r="E183" s="8">
        <v>120</v>
      </c>
      <c r="F183" s="9">
        <v>97.2</v>
      </c>
      <c r="G183" s="9">
        <v>97.7</v>
      </c>
      <c r="H183" s="10">
        <f t="shared" si="0"/>
        <v>0.99488229273285567</v>
      </c>
      <c r="I183" s="9">
        <f t="shared" si="1"/>
        <v>11664</v>
      </c>
      <c r="J183" s="9">
        <v>1</v>
      </c>
      <c r="K183" s="11">
        <f t="shared" si="2"/>
        <v>1.0288065843621399E-2</v>
      </c>
      <c r="L183" s="9">
        <f t="shared" si="3"/>
        <v>120</v>
      </c>
    </row>
    <row r="184" spans="1:12" x14ac:dyDescent="0.25">
      <c r="A184" s="5" t="s">
        <v>18</v>
      </c>
      <c r="B184" s="6" t="s">
        <v>19</v>
      </c>
      <c r="C184" s="6" t="s">
        <v>20</v>
      </c>
      <c r="D184" s="19">
        <v>45597</v>
      </c>
      <c r="E184" s="8">
        <v>100</v>
      </c>
      <c r="F184" s="9">
        <v>112.4</v>
      </c>
      <c r="G184" s="9">
        <v>113.4</v>
      </c>
      <c r="H184" s="10">
        <f t="shared" si="0"/>
        <v>0.99118165784832446</v>
      </c>
      <c r="I184" s="9">
        <f t="shared" si="1"/>
        <v>11240</v>
      </c>
      <c r="J184" s="9">
        <v>0.92</v>
      </c>
      <c r="K184" s="11">
        <f t="shared" si="2"/>
        <v>8.1850533807829185E-3</v>
      </c>
      <c r="L184" s="9">
        <f t="shared" si="3"/>
        <v>92</v>
      </c>
    </row>
    <row r="185" spans="1:12" x14ac:dyDescent="0.25">
      <c r="A185" s="5" t="s">
        <v>21</v>
      </c>
      <c r="B185" s="6" t="s">
        <v>22</v>
      </c>
      <c r="C185" s="6" t="s">
        <v>23</v>
      </c>
      <c r="D185" s="19">
        <v>45597</v>
      </c>
      <c r="E185" s="8">
        <v>150</v>
      </c>
      <c r="F185" s="9">
        <v>106</v>
      </c>
      <c r="G185" s="9">
        <v>102.35</v>
      </c>
      <c r="H185" s="10">
        <f t="shared" si="0"/>
        <v>1.0356619443087445</v>
      </c>
      <c r="I185" s="9">
        <f t="shared" si="1"/>
        <v>15900</v>
      </c>
      <c r="J185" s="9">
        <v>1.08</v>
      </c>
      <c r="K185" s="11">
        <f t="shared" si="2"/>
        <v>1.0188679245283019E-2</v>
      </c>
      <c r="L185" s="9">
        <f t="shared" si="3"/>
        <v>162</v>
      </c>
    </row>
    <row r="186" spans="1:12" x14ac:dyDescent="0.25">
      <c r="A186" s="5" t="s">
        <v>24</v>
      </c>
      <c r="B186" s="6" t="s">
        <v>25</v>
      </c>
      <c r="C186" s="6" t="s">
        <v>14</v>
      </c>
      <c r="D186" s="19">
        <v>45597</v>
      </c>
      <c r="E186" s="8">
        <v>90</v>
      </c>
      <c r="F186" s="9">
        <v>104.8</v>
      </c>
      <c r="G186" s="9">
        <v>100</v>
      </c>
      <c r="H186" s="10">
        <f t="shared" si="0"/>
        <v>1.048</v>
      </c>
      <c r="I186" s="9">
        <f t="shared" si="1"/>
        <v>9432</v>
      </c>
      <c r="J186" s="9">
        <v>0.78</v>
      </c>
      <c r="K186" s="11">
        <f t="shared" si="2"/>
        <v>7.442748091603054E-3</v>
      </c>
      <c r="L186" s="9">
        <f t="shared" si="3"/>
        <v>70.2</v>
      </c>
    </row>
    <row r="187" spans="1:12" x14ac:dyDescent="0.25">
      <c r="A187" s="5" t="s">
        <v>26</v>
      </c>
      <c r="B187" s="6" t="s">
        <v>27</v>
      </c>
      <c r="C187" s="6" t="s">
        <v>20</v>
      </c>
      <c r="D187" s="19">
        <v>45597</v>
      </c>
      <c r="E187" s="8">
        <v>110</v>
      </c>
      <c r="F187" s="9">
        <v>122.1</v>
      </c>
      <c r="G187" s="9">
        <v>126.2</v>
      </c>
      <c r="H187" s="10">
        <f t="shared" si="0"/>
        <v>0.96751188589540404</v>
      </c>
      <c r="I187" s="9">
        <f t="shared" si="1"/>
        <v>13431</v>
      </c>
      <c r="J187" s="9">
        <v>1</v>
      </c>
      <c r="K187" s="11">
        <f t="shared" si="2"/>
        <v>8.1900081900081901E-3</v>
      </c>
      <c r="L187" s="9">
        <f t="shared" si="3"/>
        <v>110</v>
      </c>
    </row>
    <row r="188" spans="1:12" x14ac:dyDescent="0.25">
      <c r="A188" s="5" t="s">
        <v>28</v>
      </c>
      <c r="B188" s="6" t="s">
        <v>29</v>
      </c>
      <c r="C188" s="6" t="s">
        <v>30</v>
      </c>
      <c r="D188" s="19">
        <v>45597</v>
      </c>
      <c r="E188" s="8">
        <v>75</v>
      </c>
      <c r="F188" s="9">
        <v>131</v>
      </c>
      <c r="G188" s="9">
        <v>125.6</v>
      </c>
      <c r="H188" s="10">
        <f t="shared" si="0"/>
        <v>1.0429936305732486</v>
      </c>
      <c r="I188" s="9">
        <f t="shared" si="1"/>
        <v>9825</v>
      </c>
      <c r="J188" s="9">
        <v>0.9</v>
      </c>
      <c r="K188" s="11">
        <f t="shared" si="2"/>
        <v>6.8702290076335876E-3</v>
      </c>
      <c r="L188" s="9">
        <f t="shared" si="3"/>
        <v>67.5</v>
      </c>
    </row>
    <row r="189" spans="1:12" x14ac:dyDescent="0.25">
      <c r="A189" s="5" t="s">
        <v>31</v>
      </c>
      <c r="B189" s="6" t="s">
        <v>32</v>
      </c>
      <c r="C189" s="6" t="s">
        <v>33</v>
      </c>
      <c r="D189" s="19">
        <v>45597</v>
      </c>
      <c r="E189" s="8">
        <v>500</v>
      </c>
      <c r="F189" s="9">
        <v>10.58</v>
      </c>
      <c r="G189" s="9">
        <v>9.93</v>
      </c>
      <c r="H189" s="10">
        <f t="shared" si="0"/>
        <v>1.0654582074521652</v>
      </c>
      <c r="I189" s="9">
        <f t="shared" si="1"/>
        <v>5290</v>
      </c>
      <c r="J189" s="9">
        <v>0.1</v>
      </c>
      <c r="K189" s="11">
        <f t="shared" si="2"/>
        <v>9.4517958412098299E-3</v>
      </c>
      <c r="L189" s="9">
        <f t="shared" si="3"/>
        <v>50</v>
      </c>
    </row>
    <row r="190" spans="1:12" x14ac:dyDescent="0.25">
      <c r="A190" s="5" t="s">
        <v>34</v>
      </c>
      <c r="B190" s="6" t="s">
        <v>35</v>
      </c>
      <c r="C190" s="6" t="s">
        <v>36</v>
      </c>
      <c r="D190" s="19">
        <v>45597</v>
      </c>
      <c r="E190" s="8">
        <v>85</v>
      </c>
      <c r="F190" s="9">
        <v>91.2</v>
      </c>
      <c r="G190" s="9">
        <v>99.5</v>
      </c>
      <c r="H190" s="10">
        <f t="shared" si="0"/>
        <v>0.91658291457286434</v>
      </c>
      <c r="I190" s="9">
        <f t="shared" si="1"/>
        <v>7752</v>
      </c>
      <c r="J190" s="9">
        <v>0.7</v>
      </c>
      <c r="K190" s="11">
        <f t="shared" si="2"/>
        <v>7.6754385964912276E-3</v>
      </c>
      <c r="L190" s="9">
        <f t="shared" si="3"/>
        <v>59.499999999999993</v>
      </c>
    </row>
    <row r="191" spans="1:12" x14ac:dyDescent="0.25">
      <c r="A191" s="5" t="s">
        <v>37</v>
      </c>
      <c r="B191" s="6" t="s">
        <v>38</v>
      </c>
      <c r="C191" s="6" t="s">
        <v>39</v>
      </c>
      <c r="D191" s="19">
        <v>45597</v>
      </c>
      <c r="E191" s="8">
        <v>60</v>
      </c>
      <c r="F191" s="9">
        <v>98.1</v>
      </c>
      <c r="G191" s="9">
        <v>98.85</v>
      </c>
      <c r="H191" s="10">
        <f t="shared" si="0"/>
        <v>0.99241274658573597</v>
      </c>
      <c r="I191" s="9">
        <f t="shared" si="1"/>
        <v>5886</v>
      </c>
      <c r="J191" s="9">
        <v>0.85</v>
      </c>
      <c r="K191" s="11">
        <f t="shared" si="2"/>
        <v>8.6646279306829763E-3</v>
      </c>
      <c r="L191" s="9">
        <f t="shared" si="3"/>
        <v>51</v>
      </c>
    </row>
    <row r="192" spans="1:12" x14ac:dyDescent="0.25">
      <c r="A192" s="5" t="s">
        <v>40</v>
      </c>
      <c r="B192" s="6" t="s">
        <v>41</v>
      </c>
      <c r="C192" s="6" t="s">
        <v>30</v>
      </c>
      <c r="D192" s="19">
        <v>45597</v>
      </c>
      <c r="E192" s="8">
        <v>70</v>
      </c>
      <c r="F192" s="9">
        <v>117.7</v>
      </c>
      <c r="G192" s="9">
        <v>110.35</v>
      </c>
      <c r="H192" s="10">
        <f t="shared" si="0"/>
        <v>1.0666062528318987</v>
      </c>
      <c r="I192" s="9">
        <f t="shared" si="1"/>
        <v>8239</v>
      </c>
      <c r="J192" s="9">
        <v>0.83</v>
      </c>
      <c r="K192" s="11">
        <f t="shared" si="2"/>
        <v>7.0518266779949022E-3</v>
      </c>
      <c r="L192" s="9">
        <f t="shared" si="3"/>
        <v>58.099999999999994</v>
      </c>
    </row>
    <row r="193" spans="1:12" x14ac:dyDescent="0.25">
      <c r="A193" s="5" t="s">
        <v>42</v>
      </c>
      <c r="B193" s="6" t="s">
        <v>43</v>
      </c>
      <c r="C193" s="6" t="s">
        <v>30</v>
      </c>
      <c r="D193" s="19">
        <v>45597</v>
      </c>
      <c r="E193" s="8">
        <v>85</v>
      </c>
      <c r="F193" s="9">
        <v>110.1</v>
      </c>
      <c r="G193" s="9">
        <v>104.1</v>
      </c>
      <c r="H193" s="10">
        <f t="shared" si="0"/>
        <v>1.0576368876080691</v>
      </c>
      <c r="I193" s="9">
        <f t="shared" si="1"/>
        <v>9358.5</v>
      </c>
      <c r="J193" s="9">
        <v>0.94</v>
      </c>
      <c r="K193" s="11">
        <f t="shared" si="2"/>
        <v>8.5376930063578559E-3</v>
      </c>
      <c r="L193" s="9">
        <f t="shared" si="3"/>
        <v>79.899999999999991</v>
      </c>
    </row>
    <row r="194" spans="1:12" x14ac:dyDescent="0.25">
      <c r="A194" s="5" t="s">
        <v>44</v>
      </c>
      <c r="B194" s="6" t="s">
        <v>45</v>
      </c>
      <c r="C194" s="6" t="s">
        <v>14</v>
      </c>
      <c r="D194" s="19">
        <v>45597</v>
      </c>
      <c r="E194" s="8">
        <v>65</v>
      </c>
      <c r="F194" s="9">
        <v>124.6</v>
      </c>
      <c r="G194" s="9">
        <v>123.5</v>
      </c>
      <c r="H194" s="10">
        <f t="shared" si="0"/>
        <v>1.0089068825910932</v>
      </c>
      <c r="I194" s="9">
        <f t="shared" si="1"/>
        <v>8099</v>
      </c>
      <c r="J194" s="9">
        <v>0.89</v>
      </c>
      <c r="K194" s="11">
        <f t="shared" si="2"/>
        <v>7.1428571428571435E-3</v>
      </c>
      <c r="L194" s="9">
        <f t="shared" si="3"/>
        <v>57.85</v>
      </c>
    </row>
    <row r="195" spans="1:12" x14ac:dyDescent="0.25">
      <c r="A195" s="5" t="s">
        <v>46</v>
      </c>
      <c r="B195" s="6" t="s">
        <v>47</v>
      </c>
      <c r="C195" s="6" t="s">
        <v>17</v>
      </c>
      <c r="D195" s="19">
        <v>45597</v>
      </c>
      <c r="E195" s="8">
        <v>600</v>
      </c>
      <c r="F195" s="9">
        <v>8.52</v>
      </c>
      <c r="G195" s="9">
        <v>8.93</v>
      </c>
      <c r="H195" s="10">
        <f t="shared" si="0"/>
        <v>0.95408734602463607</v>
      </c>
      <c r="I195" s="9">
        <f t="shared" si="1"/>
        <v>5112</v>
      </c>
      <c r="J195" s="9">
        <v>0.08</v>
      </c>
      <c r="K195" s="11">
        <f t="shared" si="2"/>
        <v>9.3896713615023476E-3</v>
      </c>
      <c r="L195" s="9">
        <f t="shared" si="3"/>
        <v>48</v>
      </c>
    </row>
    <row r="196" spans="1:12" x14ac:dyDescent="0.25">
      <c r="A196" s="5" t="s">
        <v>48</v>
      </c>
      <c r="B196" s="6" t="s">
        <v>49</v>
      </c>
      <c r="C196" s="6" t="s">
        <v>17</v>
      </c>
      <c r="D196" s="19">
        <v>45597</v>
      </c>
      <c r="E196" s="8">
        <v>550</v>
      </c>
      <c r="F196" s="9">
        <v>9.4</v>
      </c>
      <c r="G196" s="9">
        <v>9.3000000000000007</v>
      </c>
      <c r="H196" s="10">
        <f t="shared" si="0"/>
        <v>1.010752688172043</v>
      </c>
      <c r="I196" s="9">
        <f t="shared" si="1"/>
        <v>5170</v>
      </c>
      <c r="J196" s="9">
        <v>0.09</v>
      </c>
      <c r="K196" s="11">
        <f t="shared" si="2"/>
        <v>9.5744680851063829E-3</v>
      </c>
      <c r="L196" s="9">
        <f t="shared" si="3"/>
        <v>49.5</v>
      </c>
    </row>
    <row r="197" spans="1:12" x14ac:dyDescent="0.25">
      <c r="A197" s="5" t="s">
        <v>50</v>
      </c>
      <c r="B197" s="6" t="s">
        <v>51</v>
      </c>
      <c r="C197" s="6" t="s">
        <v>23</v>
      </c>
      <c r="D197" s="19">
        <v>45597</v>
      </c>
      <c r="E197" s="8">
        <v>450</v>
      </c>
      <c r="F197" s="9">
        <v>10.15</v>
      </c>
      <c r="G197" s="9">
        <v>9.84</v>
      </c>
      <c r="H197" s="10">
        <f t="shared" si="0"/>
        <v>1.0315040650406504</v>
      </c>
      <c r="I197" s="9">
        <f t="shared" si="1"/>
        <v>4567.5</v>
      </c>
      <c r="J197" s="9">
        <v>0.11</v>
      </c>
      <c r="K197" s="11">
        <f t="shared" si="2"/>
        <v>1.083743842364532E-2</v>
      </c>
      <c r="L197" s="9">
        <f t="shared" si="3"/>
        <v>49.5</v>
      </c>
    </row>
    <row r="198" spans="1:12" x14ac:dyDescent="0.25">
      <c r="A198" s="5" t="s">
        <v>52</v>
      </c>
      <c r="B198" s="6" t="s">
        <v>53</v>
      </c>
      <c r="C198" s="6" t="s">
        <v>17</v>
      </c>
      <c r="D198" s="19">
        <v>45597</v>
      </c>
      <c r="E198" s="8">
        <v>95</v>
      </c>
      <c r="F198" s="9">
        <v>105.9</v>
      </c>
      <c r="G198" s="9">
        <v>102.6</v>
      </c>
      <c r="H198" s="10">
        <f t="shared" si="0"/>
        <v>1.0321637426900585</v>
      </c>
      <c r="I198" s="9">
        <f t="shared" si="1"/>
        <v>10060.5</v>
      </c>
      <c r="J198" s="9">
        <v>1.1399999999999999</v>
      </c>
      <c r="K198" s="11">
        <f t="shared" si="2"/>
        <v>1.0764872521246457E-2</v>
      </c>
      <c r="L198" s="9">
        <f t="shared" si="3"/>
        <v>108.3</v>
      </c>
    </row>
    <row r="199" spans="1:12" x14ac:dyDescent="0.25">
      <c r="A199" s="5" t="s">
        <v>54</v>
      </c>
      <c r="B199" s="6" t="s">
        <v>55</v>
      </c>
      <c r="C199" s="6" t="s">
        <v>36</v>
      </c>
      <c r="D199" s="19">
        <v>45597</v>
      </c>
      <c r="E199" s="8">
        <v>110</v>
      </c>
      <c r="F199" s="9">
        <v>74.7</v>
      </c>
      <c r="G199" s="9">
        <v>111.5</v>
      </c>
      <c r="H199" s="10">
        <f t="shared" si="0"/>
        <v>0.66995515695067265</v>
      </c>
      <c r="I199" s="9">
        <f t="shared" si="1"/>
        <v>8217</v>
      </c>
      <c r="J199" s="9">
        <v>0.5</v>
      </c>
      <c r="K199" s="11">
        <f t="shared" si="2"/>
        <v>6.6934404283801874E-3</v>
      </c>
      <c r="L199" s="9">
        <f t="shared" si="3"/>
        <v>55</v>
      </c>
    </row>
    <row r="200" spans="1:12" x14ac:dyDescent="0.25">
      <c r="A200" s="5" t="s">
        <v>12</v>
      </c>
      <c r="B200" s="6" t="s">
        <v>13</v>
      </c>
      <c r="C200" s="6" t="s">
        <v>14</v>
      </c>
      <c r="D200" s="19">
        <v>45627</v>
      </c>
      <c r="E200" s="8">
        <v>80</v>
      </c>
      <c r="F200" s="9">
        <v>169</v>
      </c>
      <c r="G200" s="9">
        <v>157.80000000000001</v>
      </c>
      <c r="H200" s="10">
        <f t="shared" si="0"/>
        <v>1.0709759188846641</v>
      </c>
      <c r="I200" s="9">
        <f t="shared" si="1"/>
        <v>13520</v>
      </c>
      <c r="J200" s="9">
        <v>1.1000000000000001</v>
      </c>
      <c r="K200" s="11">
        <f t="shared" si="2"/>
        <v>6.508875739644971E-3</v>
      </c>
      <c r="L200" s="9">
        <f t="shared" si="3"/>
        <v>88</v>
      </c>
    </row>
    <row r="201" spans="1:12" x14ac:dyDescent="0.25">
      <c r="A201" s="5" t="s">
        <v>15</v>
      </c>
      <c r="B201" s="6" t="s">
        <v>16</v>
      </c>
      <c r="C201" s="6" t="s">
        <v>17</v>
      </c>
      <c r="D201" s="19">
        <v>45627</v>
      </c>
      <c r="E201" s="8">
        <v>120</v>
      </c>
      <c r="F201" s="9">
        <v>97.5</v>
      </c>
      <c r="G201" s="9">
        <v>97.75</v>
      </c>
      <c r="H201" s="10">
        <f t="shared" si="0"/>
        <v>0.99744245524296671</v>
      </c>
      <c r="I201" s="9">
        <f t="shared" si="1"/>
        <v>11700</v>
      </c>
      <c r="J201" s="9">
        <v>1</v>
      </c>
      <c r="K201" s="11">
        <f t="shared" si="2"/>
        <v>1.0256410256410256E-2</v>
      </c>
      <c r="L201" s="9">
        <f t="shared" si="3"/>
        <v>120</v>
      </c>
    </row>
    <row r="202" spans="1:12" x14ac:dyDescent="0.25">
      <c r="A202" s="5" t="s">
        <v>18</v>
      </c>
      <c r="B202" s="6" t="s">
        <v>19</v>
      </c>
      <c r="C202" s="6" t="s">
        <v>20</v>
      </c>
      <c r="D202" s="19">
        <v>45627</v>
      </c>
      <c r="E202" s="8">
        <v>100</v>
      </c>
      <c r="F202" s="9">
        <v>112.8</v>
      </c>
      <c r="G202" s="9">
        <v>113.5</v>
      </c>
      <c r="H202" s="10">
        <f t="shared" si="0"/>
        <v>0.99383259911894273</v>
      </c>
      <c r="I202" s="9">
        <f t="shared" si="1"/>
        <v>11280</v>
      </c>
      <c r="J202" s="9">
        <v>0.92</v>
      </c>
      <c r="K202" s="11">
        <f t="shared" si="2"/>
        <v>8.1560283687943276E-3</v>
      </c>
      <c r="L202" s="9">
        <f t="shared" si="3"/>
        <v>92</v>
      </c>
    </row>
    <row r="203" spans="1:12" x14ac:dyDescent="0.25">
      <c r="A203" s="5" t="s">
        <v>21</v>
      </c>
      <c r="B203" s="6" t="s">
        <v>22</v>
      </c>
      <c r="C203" s="6" t="s">
        <v>23</v>
      </c>
      <c r="D203" s="19">
        <v>45627</v>
      </c>
      <c r="E203" s="8">
        <v>150</v>
      </c>
      <c r="F203" s="9">
        <v>106.3</v>
      </c>
      <c r="G203" s="9">
        <v>102.4</v>
      </c>
      <c r="H203" s="10">
        <f t="shared" si="0"/>
        <v>1.0380859375</v>
      </c>
      <c r="I203" s="9">
        <f t="shared" si="1"/>
        <v>15945</v>
      </c>
      <c r="J203" s="9">
        <v>1.08</v>
      </c>
      <c r="K203" s="11">
        <f t="shared" si="2"/>
        <v>1.0159924741298213E-2</v>
      </c>
      <c r="L203" s="9">
        <f t="shared" si="3"/>
        <v>162</v>
      </c>
    </row>
    <row r="204" spans="1:12" x14ac:dyDescent="0.25">
      <c r="A204" s="5" t="s">
        <v>24</v>
      </c>
      <c r="B204" s="6" t="s">
        <v>25</v>
      </c>
      <c r="C204" s="6" t="s">
        <v>14</v>
      </c>
      <c r="D204" s="19">
        <v>45627</v>
      </c>
      <c r="E204" s="8">
        <v>90</v>
      </c>
      <c r="F204" s="9">
        <v>105.1</v>
      </c>
      <c r="G204" s="9">
        <v>100.1</v>
      </c>
      <c r="H204" s="10">
        <f t="shared" si="0"/>
        <v>1.04995004995005</v>
      </c>
      <c r="I204" s="9">
        <f t="shared" si="1"/>
        <v>9459</v>
      </c>
      <c r="J204" s="9">
        <v>0.78</v>
      </c>
      <c r="K204" s="11">
        <f t="shared" si="2"/>
        <v>7.4215033301617515E-3</v>
      </c>
      <c r="L204" s="9">
        <f t="shared" si="3"/>
        <v>70.2</v>
      </c>
    </row>
    <row r="205" spans="1:12" x14ac:dyDescent="0.25">
      <c r="A205" s="5" t="s">
        <v>26</v>
      </c>
      <c r="B205" s="6" t="s">
        <v>27</v>
      </c>
      <c r="C205" s="6" t="s">
        <v>20</v>
      </c>
      <c r="D205" s="19">
        <v>45627</v>
      </c>
      <c r="E205" s="8">
        <v>110</v>
      </c>
      <c r="F205" s="9">
        <v>122.5</v>
      </c>
      <c r="G205" s="9">
        <v>126.3</v>
      </c>
      <c r="H205" s="10">
        <f t="shared" si="0"/>
        <v>0.9699129057798892</v>
      </c>
      <c r="I205" s="9">
        <f t="shared" si="1"/>
        <v>13475</v>
      </c>
      <c r="J205" s="9">
        <v>1</v>
      </c>
      <c r="K205" s="11">
        <f t="shared" si="2"/>
        <v>8.1632653061224497E-3</v>
      </c>
      <c r="L205" s="9">
        <f t="shared" si="3"/>
        <v>110</v>
      </c>
    </row>
    <row r="206" spans="1:12" x14ac:dyDescent="0.25">
      <c r="A206" s="5" t="s">
        <v>28</v>
      </c>
      <c r="B206" s="6" t="s">
        <v>29</v>
      </c>
      <c r="C206" s="6" t="s">
        <v>30</v>
      </c>
      <c r="D206" s="19">
        <v>45627</v>
      </c>
      <c r="E206" s="8">
        <v>75</v>
      </c>
      <c r="F206" s="9">
        <v>131.5</v>
      </c>
      <c r="G206" s="9">
        <v>125.7</v>
      </c>
      <c r="H206" s="10">
        <f t="shared" si="0"/>
        <v>1.0461416070007956</v>
      </c>
      <c r="I206" s="9">
        <f t="shared" si="1"/>
        <v>9862.5</v>
      </c>
      <c r="J206" s="9">
        <v>0.9</v>
      </c>
      <c r="K206" s="11">
        <f t="shared" si="2"/>
        <v>6.8441064638783272E-3</v>
      </c>
      <c r="L206" s="9">
        <f t="shared" si="3"/>
        <v>67.5</v>
      </c>
    </row>
    <row r="207" spans="1:12" x14ac:dyDescent="0.25">
      <c r="A207" s="5" t="s">
        <v>31</v>
      </c>
      <c r="B207" s="6" t="s">
        <v>32</v>
      </c>
      <c r="C207" s="6" t="s">
        <v>33</v>
      </c>
      <c r="D207" s="19">
        <v>45627</v>
      </c>
      <c r="E207" s="8">
        <v>500</v>
      </c>
      <c r="F207" s="9">
        <v>10.6</v>
      </c>
      <c r="G207" s="9">
        <v>9.94</v>
      </c>
      <c r="H207" s="10">
        <f t="shared" si="0"/>
        <v>1.0663983903420524</v>
      </c>
      <c r="I207" s="9">
        <f t="shared" si="1"/>
        <v>5300</v>
      </c>
      <c r="J207" s="9">
        <v>0.1</v>
      </c>
      <c r="K207" s="11">
        <f t="shared" si="2"/>
        <v>9.4339622641509448E-3</v>
      </c>
      <c r="L207" s="9">
        <f t="shared" si="3"/>
        <v>50</v>
      </c>
    </row>
    <row r="208" spans="1:12" x14ac:dyDescent="0.25">
      <c r="A208" s="5" t="s">
        <v>34</v>
      </c>
      <c r="B208" s="6" t="s">
        <v>35</v>
      </c>
      <c r="C208" s="6" t="s">
        <v>36</v>
      </c>
      <c r="D208" s="19">
        <v>45627</v>
      </c>
      <c r="E208" s="8">
        <v>85</v>
      </c>
      <c r="F208" s="9">
        <v>91.5</v>
      </c>
      <c r="G208" s="9">
        <v>99.55</v>
      </c>
      <c r="H208" s="10">
        <f t="shared" si="0"/>
        <v>0.91913611250627825</v>
      </c>
      <c r="I208" s="9">
        <f t="shared" si="1"/>
        <v>7777.5</v>
      </c>
      <c r="J208" s="9">
        <v>0.7</v>
      </c>
      <c r="K208" s="11">
        <f t="shared" si="2"/>
        <v>7.650273224043715E-3</v>
      </c>
      <c r="L208" s="9">
        <f t="shared" si="3"/>
        <v>59.499999999999993</v>
      </c>
    </row>
    <row r="209" spans="1:12" x14ac:dyDescent="0.25">
      <c r="A209" s="5" t="s">
        <v>37</v>
      </c>
      <c r="B209" s="6" t="s">
        <v>38</v>
      </c>
      <c r="C209" s="6" t="s">
        <v>39</v>
      </c>
      <c r="D209" s="19">
        <v>45627</v>
      </c>
      <c r="E209" s="8">
        <v>60</v>
      </c>
      <c r="F209" s="9">
        <v>98.3</v>
      </c>
      <c r="G209" s="9">
        <v>98.9</v>
      </c>
      <c r="H209" s="10">
        <f t="shared" si="0"/>
        <v>0.99393326592517683</v>
      </c>
      <c r="I209" s="9">
        <f t="shared" si="1"/>
        <v>5898</v>
      </c>
      <c r="J209" s="9">
        <v>0.85</v>
      </c>
      <c r="K209" s="11">
        <f t="shared" si="2"/>
        <v>8.6469989827060029E-3</v>
      </c>
      <c r="L209" s="9">
        <f t="shared" si="3"/>
        <v>51</v>
      </c>
    </row>
    <row r="210" spans="1:12" x14ac:dyDescent="0.25">
      <c r="A210" s="5" t="s">
        <v>40</v>
      </c>
      <c r="B210" s="6" t="s">
        <v>41</v>
      </c>
      <c r="C210" s="6" t="s">
        <v>30</v>
      </c>
      <c r="D210" s="19">
        <v>45627</v>
      </c>
      <c r="E210" s="8">
        <v>70</v>
      </c>
      <c r="F210" s="9">
        <v>118</v>
      </c>
      <c r="G210" s="9">
        <v>110.4</v>
      </c>
      <c r="H210" s="10">
        <f t="shared" si="0"/>
        <v>1.0688405797101448</v>
      </c>
      <c r="I210" s="9">
        <f t="shared" si="1"/>
        <v>8260</v>
      </c>
      <c r="J210" s="9">
        <v>0.83</v>
      </c>
      <c r="K210" s="11">
        <f t="shared" si="2"/>
        <v>7.033898305084745E-3</v>
      </c>
      <c r="L210" s="9">
        <f t="shared" si="3"/>
        <v>58.099999999999994</v>
      </c>
    </row>
    <row r="211" spans="1:12" x14ac:dyDescent="0.25">
      <c r="A211" s="5" t="s">
        <v>42</v>
      </c>
      <c r="B211" s="6" t="s">
        <v>43</v>
      </c>
      <c r="C211" s="6" t="s">
        <v>30</v>
      </c>
      <c r="D211" s="19">
        <v>45627</v>
      </c>
      <c r="E211" s="8">
        <v>85</v>
      </c>
      <c r="F211" s="9">
        <v>110.4</v>
      </c>
      <c r="G211" s="9">
        <v>104.2</v>
      </c>
      <c r="H211" s="10">
        <f t="shared" si="0"/>
        <v>1.0595009596928984</v>
      </c>
      <c r="I211" s="9">
        <f t="shared" si="1"/>
        <v>9384</v>
      </c>
      <c r="J211" s="9">
        <v>0.94</v>
      </c>
      <c r="K211" s="11">
        <f t="shared" si="2"/>
        <v>8.5144927536231867E-3</v>
      </c>
      <c r="L211" s="9">
        <f t="shared" si="3"/>
        <v>79.899999999999991</v>
      </c>
    </row>
    <row r="212" spans="1:12" x14ac:dyDescent="0.25">
      <c r="A212" s="5" t="s">
        <v>44</v>
      </c>
      <c r="B212" s="6" t="s">
        <v>45</v>
      </c>
      <c r="C212" s="6" t="s">
        <v>14</v>
      </c>
      <c r="D212" s="19">
        <v>45627</v>
      </c>
      <c r="E212" s="8">
        <v>65</v>
      </c>
      <c r="F212" s="9">
        <v>125</v>
      </c>
      <c r="G212" s="9">
        <v>123.55</v>
      </c>
      <c r="H212" s="10">
        <f t="shared" si="0"/>
        <v>1.0117361392148927</v>
      </c>
      <c r="I212" s="9">
        <f t="shared" si="1"/>
        <v>8125</v>
      </c>
      <c r="J212" s="9">
        <v>0.89</v>
      </c>
      <c r="K212" s="11">
        <f t="shared" si="2"/>
        <v>7.1200000000000005E-3</v>
      </c>
      <c r="L212" s="9">
        <f t="shared" si="3"/>
        <v>57.85</v>
      </c>
    </row>
    <row r="213" spans="1:12" x14ac:dyDescent="0.25">
      <c r="A213" s="5" t="s">
        <v>46</v>
      </c>
      <c r="B213" s="6" t="s">
        <v>47</v>
      </c>
      <c r="C213" s="6" t="s">
        <v>17</v>
      </c>
      <c r="D213" s="19">
        <v>45627</v>
      </c>
      <c r="E213" s="8">
        <v>600</v>
      </c>
      <c r="F213" s="9">
        <v>8.5500000000000007</v>
      </c>
      <c r="G213" s="9">
        <v>8.94</v>
      </c>
      <c r="H213" s="10">
        <f t="shared" si="0"/>
        <v>0.95637583892617462</v>
      </c>
      <c r="I213" s="9">
        <f t="shared" si="1"/>
        <v>5130</v>
      </c>
      <c r="J213" s="9">
        <v>0.08</v>
      </c>
      <c r="K213" s="11">
        <f t="shared" si="2"/>
        <v>9.3567251461988306E-3</v>
      </c>
      <c r="L213" s="9">
        <f t="shared" si="3"/>
        <v>48</v>
      </c>
    </row>
    <row r="214" spans="1:12" x14ac:dyDescent="0.25">
      <c r="A214" s="5" t="s">
        <v>48</v>
      </c>
      <c r="B214" s="6" t="s">
        <v>49</v>
      </c>
      <c r="C214" s="6" t="s">
        <v>17</v>
      </c>
      <c r="D214" s="19">
        <v>45627</v>
      </c>
      <c r="E214" s="8">
        <v>550</v>
      </c>
      <c r="F214" s="9">
        <v>9.42</v>
      </c>
      <c r="G214" s="9">
        <v>9.31</v>
      </c>
      <c r="H214" s="10">
        <f t="shared" si="0"/>
        <v>1.0118152524167561</v>
      </c>
      <c r="I214" s="9">
        <f t="shared" si="1"/>
        <v>5181</v>
      </c>
      <c r="J214" s="9">
        <v>0.09</v>
      </c>
      <c r="K214" s="11">
        <f t="shared" si="2"/>
        <v>9.5541401273885346E-3</v>
      </c>
      <c r="L214" s="9">
        <f t="shared" si="3"/>
        <v>49.5</v>
      </c>
    </row>
    <row r="215" spans="1:12" x14ac:dyDescent="0.25">
      <c r="A215" s="5" t="s">
        <v>50</v>
      </c>
      <c r="B215" s="6" t="s">
        <v>51</v>
      </c>
      <c r="C215" s="6" t="s">
        <v>23</v>
      </c>
      <c r="D215" s="19">
        <v>45627</v>
      </c>
      <c r="E215" s="8">
        <v>450</v>
      </c>
      <c r="F215" s="9">
        <v>10.18</v>
      </c>
      <c r="G215" s="9">
        <v>9.85</v>
      </c>
      <c r="H215" s="10">
        <f t="shared" si="0"/>
        <v>1.0335025380710661</v>
      </c>
      <c r="I215" s="9">
        <f t="shared" si="1"/>
        <v>4581</v>
      </c>
      <c r="J215" s="9">
        <v>0.11</v>
      </c>
      <c r="K215" s="11">
        <f t="shared" si="2"/>
        <v>1.0805500982318271E-2</v>
      </c>
      <c r="L215" s="9">
        <f t="shared" si="3"/>
        <v>49.5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Acacio Faria Souza Amorim</cp:lastModifiedBy>
  <dcterms:modified xsi:type="dcterms:W3CDTF">2026-10-09T12:06:15Z</dcterms:modified>
</cp:coreProperties>
</file>